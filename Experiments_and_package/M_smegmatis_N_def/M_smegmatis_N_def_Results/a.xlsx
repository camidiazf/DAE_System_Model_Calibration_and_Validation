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FF00BC61BFEC36/DAE Model Analysis/M_smegmatis_DAE_2026/M_smegmatis_N_def/M_smegmatis_N_def_Results/"/>
    </mc:Choice>
  </mc:AlternateContent>
  <xr:revisionPtr revIDLastSave="0" documentId="8_{29F161FC-2EA8-4E65-A730-3C02AA80221B}" xr6:coauthVersionLast="47" xr6:coauthVersionMax="47" xr10:uidLastSave="{00000000-0000-0000-0000-000000000000}"/>
  <bookViews>
    <workbookView xWindow="-120" yWindow="-120" windowWidth="29040" windowHeight="18240" xr2:uid="{CCC33F41-214D-4E5E-8017-699B60ABF557}"/>
  </bookViews>
  <sheets>
    <sheet name="Sheet1" sheetId="1" r:id="rId1"/>
  </sheets>
  <definedNames>
    <definedName name="_xlnm._FilterDatabase" localSheetId="0" hidden="1">Sheet1!$A$1:$BJ$117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20" i="1" l="1"/>
  <c r="J120" i="1"/>
  <c r="K120" i="1"/>
  <c r="L120" i="1"/>
  <c r="M120" i="1"/>
  <c r="N120" i="1"/>
  <c r="O120" i="1"/>
  <c r="P120" i="1"/>
  <c r="I121" i="1"/>
  <c r="J121" i="1"/>
  <c r="K121" i="1"/>
  <c r="L121" i="1"/>
  <c r="M121" i="1"/>
  <c r="N121" i="1"/>
  <c r="O121" i="1"/>
  <c r="P121" i="1"/>
  <c r="H121" i="1"/>
  <c r="H120" i="1"/>
</calcChain>
</file>

<file path=xl/sharedStrings.xml><?xml version="1.0" encoding="utf-8"?>
<sst xmlns="http://schemas.openxmlformats.org/spreadsheetml/2006/main" count="522" uniqueCount="196">
  <si>
    <t>Model</t>
  </si>
  <si>
    <t>Param Combo</t>
  </si>
  <si>
    <t>lb</t>
  </si>
  <si>
    <t>ub</t>
  </si>
  <si>
    <t>k_C</t>
  </si>
  <si>
    <t>k_O</t>
  </si>
  <si>
    <t>k_d</t>
  </si>
  <si>
    <t>YX_CO2</t>
  </si>
  <si>
    <t>YX_O2</t>
  </si>
  <si>
    <t>YX_C</t>
  </si>
  <si>
    <t>Xmax</t>
  </si>
  <si>
    <t>mu_max</t>
  </si>
  <si>
    <t>t_lag</t>
  </si>
  <si>
    <t>m_C</t>
  </si>
  <si>
    <t>f_Nrec</t>
  </si>
  <si>
    <t>pH_opt</t>
  </si>
  <si>
    <t>pH_w</t>
  </si>
  <si>
    <t>Y_CO2_m</t>
  </si>
  <si>
    <t>Y_O2_m</t>
  </si>
  <si>
    <t>rho_N_max</t>
  </si>
  <si>
    <t>k_Nup</t>
  </si>
  <si>
    <t>q_min</t>
  </si>
  <si>
    <t>q_max</t>
  </si>
  <si>
    <t>t_value_k_C</t>
  </si>
  <si>
    <t>t_value_k_O</t>
  </si>
  <si>
    <t>t_value_k_d</t>
  </si>
  <si>
    <t>t_value_YX_CO2</t>
  </si>
  <si>
    <t>t_value_YX_O2</t>
  </si>
  <si>
    <t>t_value_YX_C</t>
  </si>
  <si>
    <t>t_value_Xmax</t>
  </si>
  <si>
    <t>t_value_mu_max</t>
  </si>
  <si>
    <t>t_value_t_lag</t>
  </si>
  <si>
    <t>t_value_m_C</t>
  </si>
  <si>
    <t>t_value_f_Nrec</t>
  </si>
  <si>
    <t>t_value_pH_opt</t>
  </si>
  <si>
    <t>t_value_pH_w</t>
  </si>
  <si>
    <t>t_value_Y_CO2_m</t>
  </si>
  <si>
    <t>t_value_Y_O2_m</t>
  </si>
  <si>
    <t>t_value_rho_N_max</t>
  </si>
  <si>
    <t>t_value_k_Nup</t>
  </si>
  <si>
    <t>t_value_q_min</t>
  </si>
  <si>
    <t>t_value_q_max</t>
  </si>
  <si>
    <t>Rank_Ratio</t>
  </si>
  <si>
    <t>Highly_Corr</t>
  </si>
  <si>
    <t>RMSE_X</t>
  </si>
  <si>
    <t>NMRSE_X</t>
  </si>
  <si>
    <t>MAPE_X</t>
  </si>
  <si>
    <t>RMSE_C</t>
  </si>
  <si>
    <t>NMRSE_C</t>
  </si>
  <si>
    <t>MAPE_C</t>
  </si>
  <si>
    <t>RMSE_N</t>
  </si>
  <si>
    <t>NMRSE_N</t>
  </si>
  <si>
    <t>MAPE_N</t>
  </si>
  <si>
    <t>RMSE_pH</t>
  </si>
  <si>
    <t>NMRSE_pH</t>
  </si>
  <si>
    <t>RMSE</t>
  </si>
  <si>
    <t>NMRSE</t>
  </si>
  <si>
    <t>MAPE</t>
  </si>
  <si>
    <t>AIC</t>
  </si>
  <si>
    <t>BIC</t>
  </si>
  <si>
    <t>D-W</t>
  </si>
  <si>
    <t>A-D</t>
  </si>
  <si>
    <t>Model_6_4</t>
  </si>
  <si>
    <t>['mu_max', 'pH_opt']</t>
  </si>
  <si>
    <t>[0.2, 5.5]</t>
  </si>
  <si>
    <t>[0.4, 9.0]</t>
  </si>
  <si>
    <t>Model_1_38</t>
  </si>
  <si>
    <t>['YX_CO2', 'YX_C', 'mu_max', 'pH_opt']</t>
  </si>
  <si>
    <t>[0.2, 0.5, 0.2, 5.5]</t>
  </si>
  <si>
    <t>[0.4, 0.8, 0.4, 9.0]</t>
  </si>
  <si>
    <t>Model_1_1</t>
  </si>
  <si>
    <t>Model_3_28</t>
  </si>
  <si>
    <t>['YX_CO2', 'mu_max', 'pH_opt']</t>
  </si>
  <si>
    <t>[0.2, 0.2, 5.5]</t>
  </si>
  <si>
    <t>[0.4, 0.4, 9.0]</t>
  </si>
  <si>
    <t>Model_1_27</t>
  </si>
  <si>
    <t>Model_3_15</t>
  </si>
  <si>
    <t>Model_1_32</t>
  </si>
  <si>
    <t>Model_1_25</t>
  </si>
  <si>
    <t>Model_1_33</t>
  </si>
  <si>
    <t>Model_1_66</t>
  </si>
  <si>
    <t>Model_3_30</t>
  </si>
  <si>
    <t>Model_3_26</t>
  </si>
  <si>
    <t>Model_3_10</t>
  </si>
  <si>
    <t>Model_2_44</t>
  </si>
  <si>
    <t>['YX_C', 'mu_max', 'pH_opt']</t>
  </si>
  <si>
    <t>[0.5, 0.2, 5.5]</t>
  </si>
  <si>
    <t>[0.8, 0.4, 9.0]</t>
  </si>
  <si>
    <t>Model_5_44</t>
  </si>
  <si>
    <t>['YX_CO2', 'YX_C', 'mu_max']</t>
  </si>
  <si>
    <t>[0.2, 0.5, 0.2]</t>
  </si>
  <si>
    <t>[0.4, 0.8, 0.4]</t>
  </si>
  <si>
    <t>Model_3_51</t>
  </si>
  <si>
    <t>Model_5_52</t>
  </si>
  <si>
    <t>Model_3_58</t>
  </si>
  <si>
    <t>Model_3_45</t>
  </si>
  <si>
    <t>Model_3_64</t>
  </si>
  <si>
    <t>Model_5_54</t>
  </si>
  <si>
    <t>Model_2_10</t>
  </si>
  <si>
    <t>Model_6_15</t>
  </si>
  <si>
    <t>Model_5_23</t>
  </si>
  <si>
    <t>Model_4_4</t>
  </si>
  <si>
    <t>['YX_CO2', 'YX_C', 'pH_opt']</t>
  </si>
  <si>
    <t>[0.2, 0.5, 5.5]</t>
  </si>
  <si>
    <t>[0.4, 0.8, 9.0]</t>
  </si>
  <si>
    <t>Model_5_40</t>
  </si>
  <si>
    <t>Model_3_63</t>
  </si>
  <si>
    <t>Model_3_57</t>
  </si>
  <si>
    <t>Model_4_46</t>
  </si>
  <si>
    <t>Model_2_54</t>
  </si>
  <si>
    <t>Model_4_42</t>
  </si>
  <si>
    <t>Model_1_45</t>
  </si>
  <si>
    <t>Model_4_27</t>
  </si>
  <si>
    <t>Model_4_15</t>
  </si>
  <si>
    <t>Model_2_69</t>
  </si>
  <si>
    <t>Model_4_69</t>
  </si>
  <si>
    <t>Model_6_25</t>
  </si>
  <si>
    <t>Model_2_32</t>
  </si>
  <si>
    <t>Model_4_17</t>
  </si>
  <si>
    <t>Model_4_24</t>
  </si>
  <si>
    <t>Model_3_47</t>
  </si>
  <si>
    <t>Model_3_17</t>
  </si>
  <si>
    <t>Model_5_51</t>
  </si>
  <si>
    <t>Model_6_1</t>
  </si>
  <si>
    <t>Model_2_25</t>
  </si>
  <si>
    <t>Model_6_14</t>
  </si>
  <si>
    <t>Model_4_57</t>
  </si>
  <si>
    <t>Model_4_9</t>
  </si>
  <si>
    <t>Model_1_51</t>
  </si>
  <si>
    <t>Model_2_33</t>
  </si>
  <si>
    <t>Model_6_23</t>
  </si>
  <si>
    <t>Model_2_34</t>
  </si>
  <si>
    <t>Model_6_13</t>
  </si>
  <si>
    <t>Model_4_28</t>
  </si>
  <si>
    <t>Model_5_62</t>
  </si>
  <si>
    <t>Model_4_10</t>
  </si>
  <si>
    <t>Model_4_45</t>
  </si>
  <si>
    <t>Model_5_5</t>
  </si>
  <si>
    <t>Model_4_59</t>
  </si>
  <si>
    <t>Model_2_22</t>
  </si>
  <si>
    <t>Model_4_39</t>
  </si>
  <si>
    <t>Model_4_51</t>
  </si>
  <si>
    <t>Model_1_43</t>
  </si>
  <si>
    <t>Model_2_35</t>
  </si>
  <si>
    <t>Model_4_62</t>
  </si>
  <si>
    <t>Model_6_17</t>
  </si>
  <si>
    <t>Model_4_33</t>
  </si>
  <si>
    <t>Model_1_5</t>
  </si>
  <si>
    <t>Model_4_11</t>
  </si>
  <si>
    <t>Model_4_23</t>
  </si>
  <si>
    <t>Model_2_49</t>
  </si>
  <si>
    <t>Model_1_26</t>
  </si>
  <si>
    <t>Model_4_49</t>
  </si>
  <si>
    <t>Model_4_36</t>
  </si>
  <si>
    <t>Model_2_5</t>
  </si>
  <si>
    <t>Model_1_70</t>
  </si>
  <si>
    <t>Model_4_56</t>
  </si>
  <si>
    <t>Model_1_55</t>
  </si>
  <si>
    <t>Model_4_37</t>
  </si>
  <si>
    <t>Original_Model</t>
  </si>
  <si>
    <t xml:space="preserve"> </t>
  </si>
  <si>
    <t>Model_4_50</t>
  </si>
  <si>
    <t>Model_4_2</t>
  </si>
  <si>
    <t>Model_4_19</t>
  </si>
  <si>
    <t>Model_4_38</t>
  </si>
  <si>
    <t>Model_4_29</t>
  </si>
  <si>
    <t>Model_3_67</t>
  </si>
  <si>
    <t>Model_4_70</t>
  </si>
  <si>
    <t>Model_4_54</t>
  </si>
  <si>
    <t>Model_4_61</t>
  </si>
  <si>
    <t>Model_1_57</t>
  </si>
  <si>
    <t>Model_2_61</t>
  </si>
  <si>
    <t>Model_5_1</t>
  </si>
  <si>
    <t>Model_2_37</t>
  </si>
  <si>
    <t>Model_2_58</t>
  </si>
  <si>
    <t>Model_1_63</t>
  </si>
  <si>
    <t>Model_5_42</t>
  </si>
  <si>
    <t>Model_2_26</t>
  </si>
  <si>
    <t>Model_1_24</t>
  </si>
  <si>
    <t>Model_1_18</t>
  </si>
  <si>
    <t>Model_2_51</t>
  </si>
  <si>
    <t>Model_1_13</t>
  </si>
  <si>
    <t>Model_2_66</t>
  </si>
  <si>
    <t>Model_2_65</t>
  </si>
  <si>
    <t>Model_2_24</t>
  </si>
  <si>
    <t>Model_5_3</t>
  </si>
  <si>
    <t>Model_1_35</t>
  </si>
  <si>
    <t>Model_1_39</t>
  </si>
  <si>
    <t>Model_2_8</t>
  </si>
  <si>
    <t>Model_1_23</t>
  </si>
  <si>
    <t>Model_1_22</t>
  </si>
  <si>
    <t>Model_2_21</t>
  </si>
  <si>
    <t>Model_5_50</t>
  </si>
  <si>
    <t>Model_2_57</t>
  </si>
  <si>
    <t>Model_5_39</t>
  </si>
  <si>
    <t>comparison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</si>
</sst>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65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527F4-679C-46D3-9EE3-2BDC30C00DE4}">
  <dimension ref="A1:BJ121"/>
  <sheetViews>
    <sheetView tabSelected="1" zoomScale="108" workbookViewId="0">
      <selection activeCell="AZ22" sqref="AZ22"/>
    </sheetView>
  </sheetViews>
  <sheetFormatPr defaultRowHeight="15" x14ac:dyDescent="0.25"/>
  <cols>
    <col min="1" max="1" width="14.5703125" bestFit="1" customWidth="1"/>
    <col min="2" max="2" width="33.5703125" bestFit="1" customWidth="1"/>
    <col min="3" max="7" width="0" hidden="1" customWidth="1"/>
    <col min="8" max="8" width="9.28515625" customWidth="1"/>
    <col min="9" max="9" width="0" hidden="1" customWidth="1"/>
    <col min="11" max="11" width="0" hidden="1" customWidth="1"/>
    <col min="13" max="15" width="0" hidden="1" customWidth="1"/>
    <col min="17" max="42" width="0" hidden="1" customWidth="1"/>
    <col min="45" max="45" width="0" hidden="1" customWidth="1"/>
    <col min="46" max="46" width="14.5703125" customWidth="1"/>
    <col min="47" max="48" width="0" hidden="1" customWidth="1"/>
    <col min="49" max="49" width="14.5703125" customWidth="1"/>
    <col min="50" max="51" width="0" hidden="1" customWidth="1"/>
    <col min="52" max="52" width="14.5703125" customWidth="1"/>
    <col min="53" max="54" width="0" hidden="1" customWidth="1"/>
    <col min="55" max="55" width="14.5703125" customWidth="1"/>
    <col min="56" max="56" width="9.140625" hidden="1" customWidth="1"/>
    <col min="57" max="57" width="9.140625" customWidth="1"/>
    <col min="58" max="58" width="9.140625" hidden="1" customWidth="1"/>
  </cols>
  <sheetData>
    <row r="1" spans="1:6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25">
      <c r="A2" t="s">
        <v>62</v>
      </c>
      <c r="B2" t="s">
        <v>63</v>
      </c>
      <c r="C2" t="s">
        <v>64</v>
      </c>
      <c r="D2" t="s">
        <v>65</v>
      </c>
      <c r="L2">
        <v>0.2809790499</v>
      </c>
      <c r="P2">
        <v>5.7093170716000001</v>
      </c>
      <c r="AE2">
        <v>1054.20888361416</v>
      </c>
      <c r="AI2">
        <v>549.84974476909895</v>
      </c>
      <c r="AQ2">
        <v>1</v>
      </c>
      <c r="AR2">
        <v>24</v>
      </c>
      <c r="AS2">
        <v>8.2578605299999996E-2</v>
      </c>
      <c r="AT2" s="1">
        <v>8.4178759300000003E-2</v>
      </c>
      <c r="AU2" s="1">
        <v>7.3373174605999996</v>
      </c>
      <c r="AV2" s="1">
        <v>0.33889443959999999</v>
      </c>
      <c r="AW2" s="1">
        <v>0.12698224180000001</v>
      </c>
      <c r="AX2" s="1">
        <v>6.8182669594999998</v>
      </c>
      <c r="AY2" s="1">
        <v>2.4817524699999999E-2</v>
      </c>
      <c r="AZ2" s="1">
        <v>0.19564403960000001</v>
      </c>
      <c r="BA2" s="1">
        <v>2.0844327380999998</v>
      </c>
      <c r="BB2" s="1">
        <v>4.6632332800000002E-2</v>
      </c>
      <c r="BC2" s="1">
        <v>5.8290415999999998E-2</v>
      </c>
      <c r="BD2" s="1">
        <v>0.17639384289999999</v>
      </c>
      <c r="BE2" s="1">
        <v>2.5342780200000001E-2</v>
      </c>
      <c r="BF2">
        <v>4.2073214466</v>
      </c>
      <c r="BG2">
        <v>-132.80288321539999</v>
      </c>
      <c r="BH2">
        <v>7.4088736959999997</v>
      </c>
      <c r="BI2">
        <v>4.2547864791999999</v>
      </c>
      <c r="BJ2">
        <v>1.2841814759000001</v>
      </c>
    </row>
    <row r="3" spans="1:62" x14ac:dyDescent="0.25">
      <c r="A3" t="s">
        <v>66</v>
      </c>
      <c r="B3" t="s">
        <v>67</v>
      </c>
      <c r="C3" t="s">
        <v>68</v>
      </c>
      <c r="D3" t="s">
        <v>69</v>
      </c>
      <c r="H3">
        <v>0.36224570699999997</v>
      </c>
      <c r="J3">
        <v>0.5710049318</v>
      </c>
      <c r="L3">
        <v>0.2822016423</v>
      </c>
      <c r="P3">
        <v>5.5795967683000001</v>
      </c>
      <c r="AA3">
        <v>3536.2738976620299</v>
      </c>
      <c r="AC3">
        <v>120.945155052907</v>
      </c>
      <c r="AE3">
        <v>360.47177454830103</v>
      </c>
      <c r="AI3">
        <v>204.696028910302</v>
      </c>
      <c r="AQ3">
        <v>1</v>
      </c>
      <c r="AR3">
        <v>39</v>
      </c>
      <c r="AS3">
        <v>8.2590324399999998E-2</v>
      </c>
      <c r="AT3" s="1">
        <v>8.4190705599999999E-2</v>
      </c>
      <c r="AU3" s="1">
        <v>7.2749697764999999</v>
      </c>
      <c r="AV3" s="1">
        <v>0.1908871902</v>
      </c>
      <c r="AW3" s="1">
        <v>7.1524582599999997E-2</v>
      </c>
      <c r="AX3" s="1">
        <v>4.0145718092999996</v>
      </c>
      <c r="AY3" s="1">
        <v>2.4872612700000001E-2</v>
      </c>
      <c r="AZ3" s="1">
        <v>0.19607831489999999</v>
      </c>
      <c r="BA3" s="1">
        <v>2.0927322126000001</v>
      </c>
      <c r="BB3" s="1">
        <v>5.7952084399999999E-2</v>
      </c>
      <c r="BC3" s="1">
        <v>7.2440105500000004E-2</v>
      </c>
      <c r="BD3" s="1">
        <v>0.10866942070000001</v>
      </c>
      <c r="BE3" s="1">
        <v>1.56127062E-2</v>
      </c>
      <c r="BF3">
        <v>3.4947139485999998</v>
      </c>
      <c r="BG3">
        <v>-167.55558740110001</v>
      </c>
      <c r="BH3">
        <v>14.767326859500001</v>
      </c>
      <c r="BI3">
        <v>1.3285999351</v>
      </c>
      <c r="BJ3">
        <v>2.6352138487999999</v>
      </c>
    </row>
    <row r="4" spans="1:62" x14ac:dyDescent="0.25">
      <c r="A4" t="s">
        <v>70</v>
      </c>
      <c r="B4" t="s">
        <v>67</v>
      </c>
      <c r="C4" t="s">
        <v>68</v>
      </c>
      <c r="D4" t="s">
        <v>69</v>
      </c>
      <c r="H4">
        <v>0.2446659041</v>
      </c>
      <c r="J4">
        <v>0.61304731960000003</v>
      </c>
      <c r="L4">
        <v>0.28712356719999999</v>
      </c>
      <c r="P4">
        <v>5.7004983135999998</v>
      </c>
      <c r="AA4">
        <v>4120.6564686771599</v>
      </c>
      <c r="AC4">
        <v>114.82709218257401</v>
      </c>
      <c r="AE4">
        <v>641.05590587268603</v>
      </c>
      <c r="AI4">
        <v>338.61612358784998</v>
      </c>
      <c r="AQ4">
        <v>1</v>
      </c>
      <c r="AR4">
        <v>31</v>
      </c>
      <c r="AS4">
        <v>8.2680420099999999E-2</v>
      </c>
      <c r="AT4" s="1">
        <v>8.4282547099999994E-2</v>
      </c>
      <c r="AU4" s="1">
        <v>7.4859411917000003</v>
      </c>
      <c r="AV4" s="1">
        <v>0.22595497489999999</v>
      </c>
      <c r="AW4" s="1">
        <v>8.4664325799999995E-2</v>
      </c>
      <c r="AX4" s="1">
        <v>4.5472823055999996</v>
      </c>
      <c r="AY4" s="1">
        <v>2.4689464800000002E-2</v>
      </c>
      <c r="AZ4" s="1">
        <v>0.19463450460000001</v>
      </c>
      <c r="BA4" s="1">
        <v>2.0636803789</v>
      </c>
      <c r="BB4" s="1">
        <v>0.1053902053</v>
      </c>
      <c r="BC4" s="1">
        <v>0.13173775660000001</v>
      </c>
      <c r="BD4" s="1">
        <v>0.13191698869999999</v>
      </c>
      <c r="BE4" s="1">
        <v>1.89527208E-2</v>
      </c>
      <c r="BF4">
        <v>3.8683030365</v>
      </c>
      <c r="BG4">
        <v>-152.04659423859999</v>
      </c>
      <c r="BH4">
        <v>14.7729199084</v>
      </c>
      <c r="BI4">
        <v>2.0348179696000002</v>
      </c>
      <c r="BJ4">
        <v>1.9073623107</v>
      </c>
    </row>
    <row r="5" spans="1:62" x14ac:dyDescent="0.25">
      <c r="A5" t="s">
        <v>71</v>
      </c>
      <c r="B5" t="s">
        <v>72</v>
      </c>
      <c r="C5" t="s">
        <v>73</v>
      </c>
      <c r="D5" t="s">
        <v>74</v>
      </c>
      <c r="H5">
        <v>0.2207845873</v>
      </c>
      <c r="L5">
        <v>0.26855630889999998</v>
      </c>
      <c r="P5">
        <v>6.4024352524000001</v>
      </c>
      <c r="AA5">
        <v>4135.5968359216704</v>
      </c>
      <c r="AE5">
        <v>1406.7899323192801</v>
      </c>
      <c r="AI5">
        <v>414.84506443433497</v>
      </c>
      <c r="AQ5">
        <v>1</v>
      </c>
      <c r="AR5">
        <v>50</v>
      </c>
      <c r="AS5">
        <v>8.2687436099999997E-2</v>
      </c>
      <c r="AT5" s="1">
        <v>8.4289698900000001E-2</v>
      </c>
      <c r="AU5" s="1">
        <v>7.3741534199999998</v>
      </c>
      <c r="AV5" s="1">
        <v>0.34025298780000002</v>
      </c>
      <c r="AW5" s="1">
        <v>0.12749128379999999</v>
      </c>
      <c r="AX5" s="1">
        <v>6.8489601890999996</v>
      </c>
      <c r="AY5" s="1">
        <v>2.47993842E-2</v>
      </c>
      <c r="AZ5" s="1">
        <v>0.19550103299999999</v>
      </c>
      <c r="BA5" s="1">
        <v>2.0880797103000002</v>
      </c>
      <c r="BB5" s="1">
        <v>0.13898187040000001</v>
      </c>
      <c r="BC5" s="1">
        <v>0.17372733800000001</v>
      </c>
      <c r="BD5" s="1">
        <v>0.18877253350000001</v>
      </c>
      <c r="BE5" s="1">
        <v>2.7121246099999999E-2</v>
      </c>
      <c r="BF5">
        <v>4.5461058083000001</v>
      </c>
      <c r="BG5">
        <v>-125.37700123320001</v>
      </c>
      <c r="BH5">
        <v>11.1022734317</v>
      </c>
      <c r="BI5">
        <v>2.5952771657000002</v>
      </c>
      <c r="BJ5">
        <v>1.1340293617999999</v>
      </c>
    </row>
    <row r="6" spans="1:62" x14ac:dyDescent="0.25">
      <c r="A6" t="s">
        <v>75</v>
      </c>
      <c r="B6" t="s">
        <v>67</v>
      </c>
      <c r="C6" t="s">
        <v>68</v>
      </c>
      <c r="D6" t="s">
        <v>69</v>
      </c>
      <c r="H6">
        <v>0.29652844699999997</v>
      </c>
      <c r="J6">
        <v>0.61620076739999996</v>
      </c>
      <c r="L6">
        <v>0.26674404289999998</v>
      </c>
      <c r="P6">
        <v>6.4745760673000001</v>
      </c>
      <c r="AA6">
        <v>3624.8308717365198</v>
      </c>
      <c r="AC6">
        <v>111.79638196407301</v>
      </c>
      <c r="AE6">
        <v>1139.7235246857001</v>
      </c>
      <c r="AI6">
        <v>310.82791846539698</v>
      </c>
      <c r="AQ6">
        <v>1</v>
      </c>
      <c r="AR6">
        <v>20</v>
      </c>
      <c r="AS6">
        <v>8.2716222500000006E-2</v>
      </c>
      <c r="AT6" s="1">
        <v>8.4319043199999999E-2</v>
      </c>
      <c r="AU6" s="1">
        <v>7.3429294465000003</v>
      </c>
      <c r="AV6" s="1">
        <v>0.23512554520000001</v>
      </c>
      <c r="AW6" s="1">
        <v>8.8100497799999997E-2</v>
      </c>
      <c r="AX6" s="1">
        <v>4.7226278129999999</v>
      </c>
      <c r="AY6" s="1">
        <v>2.4829425499999998E-2</v>
      </c>
      <c r="AZ6" s="1">
        <v>0.1957378572</v>
      </c>
      <c r="BA6" s="1">
        <v>2.0933111984999999</v>
      </c>
      <c r="BB6" s="1">
        <v>4.8439284999999999E-2</v>
      </c>
      <c r="BC6" s="1">
        <v>6.0549106300000002E-2</v>
      </c>
      <c r="BD6" s="1">
        <v>0.1275625927</v>
      </c>
      <c r="BE6" s="1">
        <v>1.8327117800000001E-2</v>
      </c>
      <c r="BF6">
        <v>3.6912611122999999</v>
      </c>
      <c r="BG6">
        <v>-154.73184896070001</v>
      </c>
      <c r="BH6">
        <v>14.7717900315</v>
      </c>
      <c r="BI6">
        <v>2.9257634707000002</v>
      </c>
      <c r="BJ6">
        <v>2.1054879238000002</v>
      </c>
    </row>
    <row r="7" spans="1:62" x14ac:dyDescent="0.25">
      <c r="A7" t="s">
        <v>76</v>
      </c>
      <c r="B7" t="s">
        <v>72</v>
      </c>
      <c r="C7" t="s">
        <v>73</v>
      </c>
      <c r="D7" t="s">
        <v>74</v>
      </c>
      <c r="H7">
        <v>0.23119843070000001</v>
      </c>
      <c r="L7">
        <v>0.26856012460000001</v>
      </c>
      <c r="P7">
        <v>5.8781567569000002</v>
      </c>
      <c r="AA7">
        <v>3927.7499534221201</v>
      </c>
      <c r="AE7">
        <v>740.68045306759097</v>
      </c>
      <c r="AI7">
        <v>352.31001688049798</v>
      </c>
      <c r="AQ7">
        <v>1</v>
      </c>
      <c r="AR7">
        <v>37</v>
      </c>
      <c r="AS7">
        <v>8.2723267500000003E-2</v>
      </c>
      <c r="AT7" s="1">
        <v>8.4326224699999994E-2</v>
      </c>
      <c r="AU7" s="1">
        <v>7.1594818905000004</v>
      </c>
      <c r="AV7" s="1">
        <v>0.34367173919999999</v>
      </c>
      <c r="AW7" s="1">
        <v>0.12877227469999999</v>
      </c>
      <c r="AX7" s="1">
        <v>6.9349224918000001</v>
      </c>
      <c r="AY7" s="1">
        <v>2.4975391900000001E-2</v>
      </c>
      <c r="AZ7" s="1">
        <v>0.19688855420000001</v>
      </c>
      <c r="BA7" s="1">
        <v>2.1097855876999998</v>
      </c>
      <c r="BB7" s="1">
        <v>0.12144931320000001</v>
      </c>
      <c r="BC7" s="1">
        <v>0.15181164150000001</v>
      </c>
      <c r="BD7" s="1">
        <v>0.18730130079999999</v>
      </c>
      <c r="BE7" s="1">
        <v>2.6909871799999999E-2</v>
      </c>
      <c r="BF7">
        <v>4.4528102735999999</v>
      </c>
      <c r="BG7">
        <v>-126.0029379498</v>
      </c>
      <c r="BH7">
        <v>11.101720139599999</v>
      </c>
      <c r="BI7">
        <v>2.9309962715000002</v>
      </c>
      <c r="BJ7">
        <v>1.1619433249</v>
      </c>
    </row>
    <row r="8" spans="1:62" x14ac:dyDescent="0.25">
      <c r="A8" t="s">
        <v>77</v>
      </c>
      <c r="B8" t="s">
        <v>67</v>
      </c>
      <c r="C8" t="s">
        <v>68</v>
      </c>
      <c r="D8" t="s">
        <v>69</v>
      </c>
      <c r="H8">
        <v>0.29426007279999999</v>
      </c>
      <c r="J8">
        <v>0.55534591830000002</v>
      </c>
      <c r="L8">
        <v>0.2659663041</v>
      </c>
      <c r="P8">
        <v>6.6989884508999999</v>
      </c>
      <c r="AA8">
        <v>3593.24695771498</v>
      </c>
      <c r="AC8">
        <v>124.09612620950899</v>
      </c>
      <c r="AE8">
        <v>1751.5672010175399</v>
      </c>
      <c r="AI8">
        <v>320.45373615240402</v>
      </c>
      <c r="AQ8">
        <v>1</v>
      </c>
      <c r="AR8">
        <v>54</v>
      </c>
      <c r="AS8">
        <v>8.2748991399999999E-2</v>
      </c>
      <c r="AT8" s="1">
        <v>8.4352446999999997E-2</v>
      </c>
      <c r="AU8" s="1">
        <v>7.3762453709000004</v>
      </c>
      <c r="AV8" s="1">
        <v>0.18485537190000001</v>
      </c>
      <c r="AW8" s="1">
        <v>6.9264487099999994E-2</v>
      </c>
      <c r="AX8" s="1">
        <v>3.8654137373999999</v>
      </c>
      <c r="AY8" s="1">
        <v>2.4805316800000001E-2</v>
      </c>
      <c r="AZ8" s="1">
        <v>0.1955478014</v>
      </c>
      <c r="BA8" s="1">
        <v>2.0916824322999998</v>
      </c>
      <c r="BB8" s="1">
        <v>5.0019953899999997E-2</v>
      </c>
      <c r="BC8" s="1">
        <v>6.2524942400000005E-2</v>
      </c>
      <c r="BD8" s="1">
        <v>0.10504309069999999</v>
      </c>
      <c r="BE8" s="1">
        <v>1.5091705699999999E-2</v>
      </c>
      <c r="BF8">
        <v>3.4898523640999999</v>
      </c>
      <c r="BG8">
        <v>-170.27077003970001</v>
      </c>
      <c r="BH8">
        <v>14.7665518674</v>
      </c>
      <c r="BI8">
        <v>1.2104263247</v>
      </c>
      <c r="BJ8">
        <v>2.7554584568</v>
      </c>
    </row>
    <row r="9" spans="1:62" x14ac:dyDescent="0.25">
      <c r="A9" t="s">
        <v>78</v>
      </c>
      <c r="B9" t="s">
        <v>67</v>
      </c>
      <c r="C9" t="s">
        <v>68</v>
      </c>
      <c r="D9" t="s">
        <v>69</v>
      </c>
      <c r="H9">
        <v>0.30202723259999997</v>
      </c>
      <c r="J9">
        <v>0.76772835070000001</v>
      </c>
      <c r="L9">
        <v>0.26367554920000003</v>
      </c>
      <c r="P9">
        <v>6.6772076085999998</v>
      </c>
      <c r="AA9">
        <v>3501.8532647194002</v>
      </c>
      <c r="AC9">
        <v>89.335499559777503</v>
      </c>
      <c r="AE9">
        <v>1594.0377095031499</v>
      </c>
      <c r="AI9">
        <v>306.87097843243299</v>
      </c>
      <c r="AQ9">
        <v>1</v>
      </c>
      <c r="AR9">
        <v>59</v>
      </c>
      <c r="AS9">
        <v>8.2779818699999994E-2</v>
      </c>
      <c r="AT9" s="1">
        <v>8.4383871799999996E-2</v>
      </c>
      <c r="AU9" s="1">
        <v>7.3165893633000003</v>
      </c>
      <c r="AV9" s="1">
        <v>0.42249398110000003</v>
      </c>
      <c r="AW9" s="1">
        <v>0.15830661879999999</v>
      </c>
      <c r="AX9" s="1">
        <v>8.9131280859000004</v>
      </c>
      <c r="AY9" s="1">
        <v>2.4856715099999999E-2</v>
      </c>
      <c r="AZ9" s="1">
        <v>0.19595298920000001</v>
      </c>
      <c r="BA9" s="1">
        <v>2.0992153222000001</v>
      </c>
      <c r="BB9" s="1">
        <v>4.50828479E-2</v>
      </c>
      <c r="BC9" s="1">
        <v>5.6353559800000001E-2</v>
      </c>
      <c r="BD9" s="1">
        <v>0.21679712979999999</v>
      </c>
      <c r="BE9" s="1">
        <v>3.11475838E-2</v>
      </c>
      <c r="BF9">
        <v>4.7231159931000004</v>
      </c>
      <c r="BG9">
        <v>-112.3034598814</v>
      </c>
      <c r="BH9">
        <v>14.802518811900001</v>
      </c>
      <c r="BI9">
        <v>4.6038682292999997</v>
      </c>
      <c r="BJ9">
        <v>0.97076240449999995</v>
      </c>
    </row>
    <row r="10" spans="1:62" x14ac:dyDescent="0.25">
      <c r="A10" t="s">
        <v>79</v>
      </c>
      <c r="B10" t="s">
        <v>67</v>
      </c>
      <c r="C10" t="s">
        <v>68</v>
      </c>
      <c r="D10" t="s">
        <v>69</v>
      </c>
      <c r="H10">
        <v>0.2238855059</v>
      </c>
      <c r="J10">
        <v>0.60054634760000003</v>
      </c>
      <c r="L10">
        <v>0.26633325369999999</v>
      </c>
      <c r="P10">
        <v>6.8679288031999999</v>
      </c>
      <c r="AA10">
        <v>4089.7090877096998</v>
      </c>
      <c r="AC10">
        <v>114.87016790569</v>
      </c>
      <c r="AE10">
        <v>4087.3449998790402</v>
      </c>
      <c r="AI10">
        <v>438.04849378560101</v>
      </c>
      <c r="AQ10">
        <v>1</v>
      </c>
      <c r="AR10">
        <v>36</v>
      </c>
      <c r="AS10">
        <v>8.2781476699999995E-2</v>
      </c>
      <c r="AT10" s="1">
        <v>8.4385561900000003E-2</v>
      </c>
      <c r="AU10" s="1">
        <v>7.4141308365</v>
      </c>
      <c r="AV10" s="1">
        <v>0.21721223940000001</v>
      </c>
      <c r="AW10" s="1">
        <v>8.1388461699999998E-2</v>
      </c>
      <c r="AX10" s="1">
        <v>4.3850390435</v>
      </c>
      <c r="AY10" s="1">
        <v>2.47767617E-2</v>
      </c>
      <c r="AZ10" s="1">
        <v>0.19532269259999999</v>
      </c>
      <c r="BA10" s="1">
        <v>2.0895194222</v>
      </c>
      <c r="BB10" s="1">
        <v>0.13391341770000001</v>
      </c>
      <c r="BC10" s="1">
        <v>0.1673917721</v>
      </c>
      <c r="BD10" s="1">
        <v>0.13470395430000001</v>
      </c>
      <c r="BE10" s="1">
        <v>1.93531285E-2</v>
      </c>
      <c r="BF10">
        <v>3.9220081367000001</v>
      </c>
      <c r="BG10">
        <v>-150.37406718700001</v>
      </c>
      <c r="BH10">
        <v>14.7736629718</v>
      </c>
      <c r="BI10">
        <v>1.4043677549</v>
      </c>
      <c r="BJ10">
        <v>1.8392138586</v>
      </c>
    </row>
    <row r="11" spans="1:62" x14ac:dyDescent="0.25">
      <c r="A11" t="s">
        <v>80</v>
      </c>
      <c r="B11" t="s">
        <v>67</v>
      </c>
      <c r="C11" t="s">
        <v>68</v>
      </c>
      <c r="D11" t="s">
        <v>69</v>
      </c>
      <c r="H11">
        <v>0.30463900999999999</v>
      </c>
      <c r="J11">
        <v>0.51547360689999999</v>
      </c>
      <c r="L11">
        <v>0.28072751880000002</v>
      </c>
      <c r="P11">
        <v>6.1260905253000004</v>
      </c>
      <c r="AA11">
        <v>3768.9798376101999</v>
      </c>
      <c r="AC11">
        <v>136.58362867723599</v>
      </c>
      <c r="AE11">
        <v>739.05354463374601</v>
      </c>
      <c r="AI11">
        <v>294.88485749155097</v>
      </c>
      <c r="AQ11">
        <v>1</v>
      </c>
      <c r="AR11">
        <v>30</v>
      </c>
      <c r="AS11">
        <v>8.2790876400000005E-2</v>
      </c>
      <c r="AT11" s="1">
        <v>8.43951436E-2</v>
      </c>
      <c r="AU11" s="1">
        <v>7.5528463407000004</v>
      </c>
      <c r="AV11" s="1">
        <v>0.2037468445</v>
      </c>
      <c r="AW11" s="1">
        <v>7.6343038000000002E-2</v>
      </c>
      <c r="AX11" s="1">
        <v>3.6192865600999999</v>
      </c>
      <c r="AY11" s="1">
        <v>2.4647147500000001E-2</v>
      </c>
      <c r="AZ11" s="1">
        <v>0.19430090450000001</v>
      </c>
      <c r="BA11" s="1">
        <v>2.0617371238</v>
      </c>
      <c r="BB11" s="1">
        <v>4.4992154800000003E-2</v>
      </c>
      <c r="BC11" s="1">
        <v>5.6240193500000001E-2</v>
      </c>
      <c r="BD11" s="1">
        <v>0.11291465990000001</v>
      </c>
      <c r="BE11" s="1">
        <v>1.6222626399999999E-2</v>
      </c>
      <c r="BF11">
        <v>3.4531965681000001</v>
      </c>
      <c r="BG11">
        <v>-164.48983739869999</v>
      </c>
      <c r="BH11">
        <v>14.7682675369</v>
      </c>
      <c r="BI11">
        <v>2.3046281429</v>
      </c>
      <c r="BJ11">
        <v>2.1703325109999998</v>
      </c>
    </row>
    <row r="12" spans="1:62" x14ac:dyDescent="0.25">
      <c r="A12" t="s">
        <v>81</v>
      </c>
      <c r="B12" t="s">
        <v>72</v>
      </c>
      <c r="C12" t="s">
        <v>73</v>
      </c>
      <c r="D12" t="s">
        <v>74</v>
      </c>
      <c r="H12">
        <v>0.20874429589999999</v>
      </c>
      <c r="L12">
        <v>0.2656312589</v>
      </c>
      <c r="P12">
        <v>7.0063622583000003</v>
      </c>
      <c r="AA12">
        <v>4213.9160428976302</v>
      </c>
      <c r="AE12">
        <v>9713.9346762985697</v>
      </c>
      <c r="AI12">
        <v>479.55666461517598</v>
      </c>
      <c r="AQ12">
        <v>1</v>
      </c>
      <c r="AR12">
        <v>17</v>
      </c>
      <c r="AS12">
        <v>8.2820204300000005E-2</v>
      </c>
      <c r="AT12" s="1">
        <v>8.4425039899999998E-2</v>
      </c>
      <c r="AU12" s="1">
        <v>7.4077919356999997</v>
      </c>
      <c r="AV12" s="1">
        <v>0.3418282017</v>
      </c>
      <c r="AW12" s="1">
        <v>0.12808150939999999</v>
      </c>
      <c r="AX12" s="1">
        <v>6.8849427825999996</v>
      </c>
      <c r="AY12" s="1">
        <v>2.4785721300000001E-2</v>
      </c>
      <c r="AZ12" s="1">
        <v>0.19539332379999999</v>
      </c>
      <c r="BA12" s="1">
        <v>2.0925506183000002</v>
      </c>
      <c r="BB12" s="1">
        <v>0.1585082179</v>
      </c>
      <c r="BC12" s="1">
        <v>0.19813527240000001</v>
      </c>
      <c r="BD12" s="1">
        <v>0.1932905151</v>
      </c>
      <c r="BE12" s="1">
        <v>2.77703516E-2</v>
      </c>
      <c r="BF12">
        <v>4.6360800741999997</v>
      </c>
      <c r="BG12">
        <v>-123.4848769932</v>
      </c>
      <c r="BH12">
        <v>11.1039995856</v>
      </c>
      <c r="BI12">
        <v>2.3082635453</v>
      </c>
      <c r="BJ12">
        <v>1.0916017618</v>
      </c>
    </row>
    <row r="13" spans="1:62" x14ac:dyDescent="0.25">
      <c r="A13" t="s">
        <v>82</v>
      </c>
      <c r="B13" t="s">
        <v>72</v>
      </c>
      <c r="C13" t="s">
        <v>73</v>
      </c>
      <c r="D13" t="s">
        <v>74</v>
      </c>
      <c r="H13">
        <v>0.28252925359999997</v>
      </c>
      <c r="L13">
        <v>0.28074037239999999</v>
      </c>
      <c r="P13">
        <v>6.1818022130000001</v>
      </c>
      <c r="AA13">
        <v>3885.7064839662798</v>
      </c>
      <c r="AE13">
        <v>838.87478252595997</v>
      </c>
      <c r="AI13">
        <v>317.53788680146198</v>
      </c>
      <c r="AQ13">
        <v>1</v>
      </c>
      <c r="AR13">
        <v>20</v>
      </c>
      <c r="AS13">
        <v>8.2835247099999995E-2</v>
      </c>
      <c r="AT13" s="1">
        <v>8.4440374200000001E-2</v>
      </c>
      <c r="AU13" s="1">
        <v>7.5804019053999996</v>
      </c>
      <c r="AV13" s="1">
        <v>0.33486492750000002</v>
      </c>
      <c r="AW13" s="1">
        <v>0.1254724015</v>
      </c>
      <c r="AX13" s="1">
        <v>6.7138396344000002</v>
      </c>
      <c r="AY13" s="1">
        <v>2.46254422E-2</v>
      </c>
      <c r="AZ13" s="1">
        <v>0.19412979550000001</v>
      </c>
      <c r="BA13" s="1">
        <v>2.0585639589000002</v>
      </c>
      <c r="BB13" s="1">
        <v>6.1378218399999997E-2</v>
      </c>
      <c r="BC13" s="1">
        <v>7.6722773100000002E-2</v>
      </c>
      <c r="BD13" s="1">
        <v>0.175620255</v>
      </c>
      <c r="BE13" s="1">
        <v>2.5231637599999999E-2</v>
      </c>
      <c r="BF13">
        <v>4.2785557560000003</v>
      </c>
      <c r="BG13">
        <v>-131.1545005458</v>
      </c>
      <c r="BH13">
        <v>11.097480836300001</v>
      </c>
      <c r="BI13">
        <v>4.0175845721999996</v>
      </c>
      <c r="BJ13">
        <v>1.280135529</v>
      </c>
    </row>
    <row r="14" spans="1:62" x14ac:dyDescent="0.25">
      <c r="A14" t="s">
        <v>83</v>
      </c>
      <c r="B14" t="s">
        <v>72</v>
      </c>
      <c r="C14" t="s">
        <v>73</v>
      </c>
      <c r="D14" t="s">
        <v>74</v>
      </c>
      <c r="H14">
        <v>0.30716489349999998</v>
      </c>
      <c r="L14">
        <v>0.26967417230000001</v>
      </c>
      <c r="P14">
        <v>7.2833858068000001</v>
      </c>
      <c r="AA14">
        <v>3557.7728811440702</v>
      </c>
      <c r="AE14">
        <v>3914.61901722622</v>
      </c>
      <c r="AI14">
        <v>334.63387393646099</v>
      </c>
      <c r="AQ14">
        <v>1</v>
      </c>
      <c r="AR14">
        <v>44</v>
      </c>
      <c r="AS14">
        <v>8.28367931E-2</v>
      </c>
      <c r="AT14" s="1">
        <v>8.4441950099999996E-2</v>
      </c>
      <c r="AU14" s="1">
        <v>7.5003037563000001</v>
      </c>
      <c r="AV14" s="1">
        <v>0.34003804399999998</v>
      </c>
      <c r="AW14" s="1">
        <v>0.12741074529999999</v>
      </c>
      <c r="AX14" s="1">
        <v>6.8400278278000002</v>
      </c>
      <c r="AY14" s="1">
        <v>2.4711245400000002E-2</v>
      </c>
      <c r="AZ14" s="1">
        <v>0.1948062082</v>
      </c>
      <c r="BA14" s="1">
        <v>2.0821014809</v>
      </c>
      <c r="BB14" s="1">
        <v>4.3262323499999998E-2</v>
      </c>
      <c r="BC14" s="1">
        <v>5.4077904400000001E-2</v>
      </c>
      <c r="BD14" s="1">
        <v>0.1767555374</v>
      </c>
      <c r="BE14" s="1">
        <v>2.5394745400000002E-2</v>
      </c>
      <c r="BF14">
        <v>4.2441871697</v>
      </c>
      <c r="BG14">
        <v>-130.63901166560001</v>
      </c>
      <c r="BH14">
        <v>11.0978808823</v>
      </c>
      <c r="BI14">
        <v>4.2714679828</v>
      </c>
      <c r="BJ14">
        <v>1.2903859553000001</v>
      </c>
    </row>
    <row r="15" spans="1:62" x14ac:dyDescent="0.25">
      <c r="A15" t="s">
        <v>84</v>
      </c>
      <c r="B15" t="s">
        <v>85</v>
      </c>
      <c r="C15" t="s">
        <v>86</v>
      </c>
      <c r="D15" t="s">
        <v>87</v>
      </c>
      <c r="J15">
        <v>0.57164885809999999</v>
      </c>
      <c r="L15">
        <v>0.27205951569999998</v>
      </c>
      <c r="P15">
        <v>7.5515594238999997</v>
      </c>
      <c r="AC15">
        <v>121.128991033414</v>
      </c>
      <c r="AE15">
        <v>3089.2244534565798</v>
      </c>
      <c r="AI15">
        <v>724.17903653479902</v>
      </c>
      <c r="AQ15">
        <v>1</v>
      </c>
      <c r="AR15">
        <v>31</v>
      </c>
      <c r="AS15">
        <v>8.2881966400000007E-2</v>
      </c>
      <c r="AT15" s="1">
        <v>8.4487998699999997E-2</v>
      </c>
      <c r="AU15" s="1">
        <v>7.5242064753999998</v>
      </c>
      <c r="AV15" s="1">
        <v>0.19153562199999999</v>
      </c>
      <c r="AW15" s="1">
        <v>7.1767547099999995E-2</v>
      </c>
      <c r="AX15" s="1">
        <v>4.0055585520000001</v>
      </c>
      <c r="AY15" s="1">
        <v>2.4696092199999999E-2</v>
      </c>
      <c r="AZ15" s="1">
        <v>0.1946867504</v>
      </c>
      <c r="BA15" s="1">
        <v>2.0823816438999998</v>
      </c>
      <c r="BB15" s="1">
        <v>4.6725211900000001E-2</v>
      </c>
      <c r="BC15" s="1">
        <v>5.8406514899999998E-2</v>
      </c>
      <c r="BD15" s="1">
        <v>0.1076434592</v>
      </c>
      <c r="BE15" s="1">
        <v>1.54653047E-2</v>
      </c>
      <c r="BF15">
        <v>3.5508263599999998</v>
      </c>
      <c r="BG15">
        <v>-170.3144653555</v>
      </c>
      <c r="BH15">
        <v>11.0782254766</v>
      </c>
      <c r="BI15">
        <v>1.4983893479999999</v>
      </c>
      <c r="BJ15">
        <v>2.7039805021999999</v>
      </c>
    </row>
    <row r="16" spans="1:62" x14ac:dyDescent="0.25">
      <c r="A16" t="s">
        <v>88</v>
      </c>
      <c r="B16" t="s">
        <v>89</v>
      </c>
      <c r="C16" t="s">
        <v>90</v>
      </c>
      <c r="D16" t="s">
        <v>91</v>
      </c>
      <c r="H16">
        <v>0.34199293069999998</v>
      </c>
      <c r="J16">
        <v>0.50059616659999995</v>
      </c>
      <c r="L16">
        <v>0.2731865671</v>
      </c>
      <c r="AA16">
        <v>6916.2445230887297</v>
      </c>
      <c r="AC16">
        <v>138.86232521148</v>
      </c>
      <c r="AE16">
        <v>17095.123594381199</v>
      </c>
      <c r="AQ16">
        <v>1</v>
      </c>
      <c r="AR16">
        <v>23</v>
      </c>
      <c r="AS16">
        <v>8.2882869499999998E-2</v>
      </c>
      <c r="AT16" s="1">
        <v>8.4488919300000007E-2</v>
      </c>
      <c r="AU16" s="1">
        <v>7.5615003610000002</v>
      </c>
      <c r="AV16" s="1">
        <v>0.2240237185</v>
      </c>
      <c r="AW16" s="1">
        <v>8.3940692600000005E-2</v>
      </c>
      <c r="AX16" s="1">
        <v>3.9206663954000001</v>
      </c>
      <c r="AY16" s="1">
        <v>2.46636436E-2</v>
      </c>
      <c r="AZ16" s="1">
        <v>0.19443094859999999</v>
      </c>
      <c r="BA16" s="1">
        <v>2.0762708968000001</v>
      </c>
      <c r="BB16" s="1">
        <v>4.60017593E-2</v>
      </c>
      <c r="BC16" s="1">
        <v>5.7502199099999998E-2</v>
      </c>
      <c r="BD16" s="1">
        <v>0.12225041270000001</v>
      </c>
      <c r="BE16" s="1">
        <v>1.7563908600000001E-2</v>
      </c>
      <c r="BF16">
        <v>3.5153524758999999</v>
      </c>
      <c r="BG16">
        <v>-160.13470195319999</v>
      </c>
      <c r="BH16">
        <v>11.081583525799999</v>
      </c>
      <c r="BI16">
        <v>2.8697797296999998</v>
      </c>
      <c r="BJ16">
        <v>1.8630865322000001</v>
      </c>
    </row>
    <row r="17" spans="1:62" x14ac:dyDescent="0.25">
      <c r="A17" t="s">
        <v>92</v>
      </c>
      <c r="B17" t="s">
        <v>72</v>
      </c>
      <c r="C17" t="s">
        <v>73</v>
      </c>
      <c r="D17" t="s">
        <v>74</v>
      </c>
      <c r="H17">
        <v>0.20140263990000001</v>
      </c>
      <c r="L17">
        <v>0.2718925941</v>
      </c>
      <c r="P17">
        <v>7.3559631311000002</v>
      </c>
      <c r="AA17">
        <v>4375.4452051441604</v>
      </c>
      <c r="AE17">
        <v>3968.1065505251299</v>
      </c>
      <c r="AI17">
        <v>528.20461133528397</v>
      </c>
      <c r="AQ17">
        <v>1</v>
      </c>
      <c r="AR17">
        <v>46</v>
      </c>
      <c r="AS17">
        <v>8.2894426100000002E-2</v>
      </c>
      <c r="AT17" s="1">
        <v>8.4500699900000004E-2</v>
      </c>
      <c r="AU17" s="1">
        <v>7.5468627613999999</v>
      </c>
      <c r="AV17" s="1">
        <v>0.3399495347</v>
      </c>
      <c r="AW17" s="1">
        <v>0.12737758120000001</v>
      </c>
      <c r="AX17" s="1">
        <v>6.8363489929999997</v>
      </c>
      <c r="AY17" s="1">
        <v>2.46777132E-2</v>
      </c>
      <c r="AZ17" s="1">
        <v>0.19454186309999999</v>
      </c>
      <c r="BA17" s="1">
        <v>2.0797871797999998</v>
      </c>
      <c r="BB17" s="1">
        <v>0.1723709474</v>
      </c>
      <c r="BC17" s="1">
        <v>0.21546368420000001</v>
      </c>
      <c r="BD17" s="1">
        <v>0.1954212789</v>
      </c>
      <c r="BE17" s="1">
        <v>2.8076481800000001E-2</v>
      </c>
      <c r="BF17">
        <v>4.7068338137000003</v>
      </c>
      <c r="BG17">
        <v>-122.6078116731</v>
      </c>
      <c r="BH17">
        <v>11.1048278386</v>
      </c>
      <c r="BI17">
        <v>2.1002659541000002</v>
      </c>
      <c r="BJ17">
        <v>1.0643264682</v>
      </c>
    </row>
    <row r="18" spans="1:62" x14ac:dyDescent="0.25">
      <c r="A18" t="s">
        <v>93</v>
      </c>
      <c r="B18" t="s">
        <v>89</v>
      </c>
      <c r="C18" t="s">
        <v>90</v>
      </c>
      <c r="D18" t="s">
        <v>91</v>
      </c>
      <c r="H18">
        <v>0.2456907431</v>
      </c>
      <c r="J18">
        <v>0.78409775829999995</v>
      </c>
      <c r="L18">
        <v>0.27237251820000002</v>
      </c>
      <c r="AA18">
        <v>7609.9973013419203</v>
      </c>
      <c r="AC18">
        <v>88.375234033659396</v>
      </c>
      <c r="AE18">
        <v>17061.633325571001</v>
      </c>
      <c r="AQ18">
        <v>1</v>
      </c>
      <c r="AR18">
        <v>32</v>
      </c>
      <c r="AS18">
        <v>8.2896146000000004E-2</v>
      </c>
      <c r="AT18" s="1">
        <v>8.45024531E-2</v>
      </c>
      <c r="AU18" s="1">
        <v>7.5393412619999998</v>
      </c>
      <c r="AV18" s="1">
        <v>0.43803416849999999</v>
      </c>
      <c r="AW18" s="1">
        <v>0.16412945800000001</v>
      </c>
      <c r="AX18" s="1">
        <v>9.2885477560999998</v>
      </c>
      <c r="AY18" s="1">
        <v>2.4684719500000001E-2</v>
      </c>
      <c r="AZ18" s="1">
        <v>0.1945970964</v>
      </c>
      <c r="BA18" s="1">
        <v>2.0811402073999998</v>
      </c>
      <c r="BB18" s="1">
        <v>0.102615463</v>
      </c>
      <c r="BC18" s="1">
        <v>0.12826932869999999</v>
      </c>
      <c r="BD18" s="1">
        <v>0.22906602349999999</v>
      </c>
      <c r="BE18" s="1">
        <v>3.2910275000000003E-2</v>
      </c>
      <c r="BF18">
        <v>5.0607154237999996</v>
      </c>
      <c r="BG18">
        <v>-109.89960039029999</v>
      </c>
      <c r="BH18">
        <v>11.1191096055</v>
      </c>
      <c r="BI18">
        <v>3.7719640897</v>
      </c>
      <c r="BJ18">
        <v>0.89003672730000005</v>
      </c>
    </row>
    <row r="19" spans="1:62" x14ac:dyDescent="0.25">
      <c r="A19" t="s">
        <v>94</v>
      </c>
      <c r="B19" t="s">
        <v>72</v>
      </c>
      <c r="C19" t="s">
        <v>73</v>
      </c>
      <c r="D19" t="s">
        <v>74</v>
      </c>
      <c r="H19">
        <v>0.2067772645</v>
      </c>
      <c r="L19">
        <v>0.28892679719999997</v>
      </c>
      <c r="P19">
        <v>5.8382317618000004</v>
      </c>
      <c r="AA19">
        <v>4661.4561356545501</v>
      </c>
      <c r="AE19">
        <v>856.45510329087199</v>
      </c>
      <c r="AI19">
        <v>414.60633918871599</v>
      </c>
      <c r="AQ19">
        <v>1</v>
      </c>
      <c r="AR19">
        <v>22</v>
      </c>
      <c r="AS19">
        <v>8.2933967100000006E-2</v>
      </c>
      <c r="AT19" s="1">
        <v>8.4541007099999996E-2</v>
      </c>
      <c r="AU19" s="1">
        <v>7.6239178458000003</v>
      </c>
      <c r="AV19" s="1">
        <v>0.33265184920000002</v>
      </c>
      <c r="AW19" s="1">
        <v>0.1246431709</v>
      </c>
      <c r="AX19" s="1">
        <v>6.6583337692000004</v>
      </c>
      <c r="AY19" s="1">
        <v>2.4580448800000002E-2</v>
      </c>
      <c r="AZ19" s="1">
        <v>0.19377509849999999</v>
      </c>
      <c r="BA19" s="1">
        <v>2.0474519986000002</v>
      </c>
      <c r="BB19" s="1">
        <v>0.16550747099999999</v>
      </c>
      <c r="BC19" s="1">
        <v>0.20688433880000001</v>
      </c>
      <c r="BD19" s="1">
        <v>0.19074342529999999</v>
      </c>
      <c r="BE19" s="1">
        <v>2.7404407200000001E-2</v>
      </c>
      <c r="BF19">
        <v>4.6492677282999999</v>
      </c>
      <c r="BG19">
        <v>-124.54608618</v>
      </c>
      <c r="BH19">
        <v>11.103021416600001</v>
      </c>
      <c r="BI19">
        <v>2.1625773731</v>
      </c>
      <c r="BJ19">
        <v>1.0833865842999999</v>
      </c>
    </row>
    <row r="20" spans="1:62" x14ac:dyDescent="0.25">
      <c r="A20" t="s">
        <v>95</v>
      </c>
      <c r="B20" t="s">
        <v>72</v>
      </c>
      <c r="C20" t="s">
        <v>73</v>
      </c>
      <c r="D20" t="s">
        <v>74</v>
      </c>
      <c r="H20">
        <v>0.21105108340000001</v>
      </c>
      <c r="L20">
        <v>0.26039851089999999</v>
      </c>
      <c r="P20">
        <v>6.1262351628999996</v>
      </c>
      <c r="AA20">
        <v>3982.2679391259499</v>
      </c>
      <c r="AE20">
        <v>1027.59368783933</v>
      </c>
      <c r="AI20">
        <v>404.87717198107401</v>
      </c>
      <c r="AQ20">
        <v>1</v>
      </c>
      <c r="AR20">
        <v>51</v>
      </c>
      <c r="AS20">
        <v>8.2971485400000003E-2</v>
      </c>
      <c r="AT20" s="1">
        <v>8.4579252399999999E-2</v>
      </c>
      <c r="AU20" s="1">
        <v>7.088257778</v>
      </c>
      <c r="AV20" s="1">
        <v>0.3465862099</v>
      </c>
      <c r="AW20" s="1">
        <v>0.12986431400000001</v>
      </c>
      <c r="AX20" s="1">
        <v>7.0038229251999997</v>
      </c>
      <c r="AY20" s="1">
        <v>2.5047709099999999E-2</v>
      </c>
      <c r="AZ20" s="1">
        <v>0.1974586525</v>
      </c>
      <c r="BA20" s="1">
        <v>2.1232537558</v>
      </c>
      <c r="BB20" s="1">
        <v>0.15242423099999999</v>
      </c>
      <c r="BC20" s="1">
        <v>0.1905302888</v>
      </c>
      <c r="BD20" s="1">
        <v>0.19420787980000001</v>
      </c>
      <c r="BE20" s="1">
        <v>2.7902150800000001E-2</v>
      </c>
      <c r="BF20">
        <v>4.5686626492000002</v>
      </c>
      <c r="BG20">
        <v>-123.1060918803</v>
      </c>
      <c r="BH20">
        <v>11.1043550629</v>
      </c>
      <c r="BI20">
        <v>2.4522870641000001</v>
      </c>
      <c r="BJ20">
        <v>1.0949363419</v>
      </c>
    </row>
    <row r="21" spans="1:62" x14ac:dyDescent="0.25">
      <c r="A21" t="s">
        <v>96</v>
      </c>
      <c r="B21" t="s">
        <v>72</v>
      </c>
      <c r="C21" t="s">
        <v>73</v>
      </c>
      <c r="D21" t="s">
        <v>74</v>
      </c>
      <c r="H21">
        <v>0.37995335200000002</v>
      </c>
      <c r="L21">
        <v>0.28645630290000001</v>
      </c>
      <c r="P21">
        <v>8.3192403660000007</v>
      </c>
      <c r="AA21">
        <v>3246.95558922284</v>
      </c>
      <c r="AE21">
        <v>461.55653430560102</v>
      </c>
      <c r="AI21">
        <v>305.063539828758</v>
      </c>
      <c r="AQ21">
        <v>1</v>
      </c>
      <c r="AR21">
        <v>19</v>
      </c>
      <c r="AS21">
        <v>8.2973009099999995E-2</v>
      </c>
      <c r="AT21" s="1">
        <v>8.4580805600000003E-2</v>
      </c>
      <c r="AU21" s="1">
        <v>7.5988798767999999</v>
      </c>
      <c r="AV21" s="1">
        <v>0.3402905947</v>
      </c>
      <c r="AW21" s="1">
        <v>0.1275053749</v>
      </c>
      <c r="AX21" s="1">
        <v>6.8428412334999997</v>
      </c>
      <c r="AY21" s="1">
        <v>2.4642664200000001E-2</v>
      </c>
      <c r="AZ21" s="1">
        <v>0.19426556179999999</v>
      </c>
      <c r="BA21" s="1">
        <v>2.0787877686999998</v>
      </c>
      <c r="BB21" s="1">
        <v>6.9925613400000003E-2</v>
      </c>
      <c r="BC21" s="1">
        <v>8.7407016800000001E-2</v>
      </c>
      <c r="BD21" s="1">
        <v>0.17901051740000001</v>
      </c>
      <c r="BE21" s="1">
        <v>2.5718721900000002E-2</v>
      </c>
      <c r="BF21">
        <v>4.3261212763000003</v>
      </c>
      <c r="BG21">
        <v>-129.6248574736</v>
      </c>
      <c r="BH21">
        <v>11.098683127699999</v>
      </c>
      <c r="BI21">
        <v>3.7574737663</v>
      </c>
      <c r="BJ21">
        <v>1.2642073508</v>
      </c>
    </row>
    <row r="22" spans="1:62" x14ac:dyDescent="0.25">
      <c r="A22" t="s">
        <v>97</v>
      </c>
      <c r="B22" t="s">
        <v>89</v>
      </c>
      <c r="C22" t="s">
        <v>90</v>
      </c>
      <c r="D22" t="s">
        <v>91</v>
      </c>
      <c r="H22">
        <v>0.23453542299999999</v>
      </c>
      <c r="J22">
        <v>0.51163046509999999</v>
      </c>
      <c r="L22">
        <v>0.2651606815</v>
      </c>
      <c r="AA22">
        <v>7594.9113932343898</v>
      </c>
      <c r="AC22">
        <v>133.162205620577</v>
      </c>
      <c r="AE22">
        <v>16556.079041926099</v>
      </c>
      <c r="AQ22">
        <v>1</v>
      </c>
      <c r="AR22">
        <v>41</v>
      </c>
      <c r="AS22">
        <v>8.2982862899999996E-2</v>
      </c>
      <c r="AT22" s="1">
        <v>8.4590850300000006E-2</v>
      </c>
      <c r="AU22" s="1">
        <v>7.3656567338999999</v>
      </c>
      <c r="AV22" s="1">
        <v>0.20629264980000001</v>
      </c>
      <c r="AW22" s="1">
        <v>7.72969399E-2</v>
      </c>
      <c r="AX22" s="1">
        <v>3.6737438734999999</v>
      </c>
      <c r="AY22" s="1">
        <v>2.4831868100000001E-2</v>
      </c>
      <c r="AZ22" s="1">
        <v>0.1957571132</v>
      </c>
      <c r="BA22" s="1">
        <v>2.1043432721999999</v>
      </c>
      <c r="BB22" s="1">
        <v>0.1166514578</v>
      </c>
      <c r="BC22" s="1">
        <v>0.14581432229999999</v>
      </c>
      <c r="BD22" s="1">
        <v>0.1261615999</v>
      </c>
      <c r="BE22" s="1">
        <v>1.8125835E-2</v>
      </c>
      <c r="BF22">
        <v>3.6710431375999999</v>
      </c>
      <c r="BG22">
        <v>-157.6153323847</v>
      </c>
      <c r="BH22">
        <v>11.0825551116</v>
      </c>
      <c r="BI22">
        <v>1.1331243859</v>
      </c>
      <c r="BJ22">
        <v>1.8250268606</v>
      </c>
    </row>
    <row r="23" spans="1:62" x14ac:dyDescent="0.25">
      <c r="A23" t="s">
        <v>98</v>
      </c>
      <c r="B23" t="s">
        <v>85</v>
      </c>
      <c r="C23" t="s">
        <v>86</v>
      </c>
      <c r="D23" t="s">
        <v>87</v>
      </c>
      <c r="J23">
        <v>0.64818337390000003</v>
      </c>
      <c r="L23">
        <v>0.2653897637</v>
      </c>
      <c r="P23">
        <v>7.6829697170999998</v>
      </c>
      <c r="AC23">
        <v>104.852459324546</v>
      </c>
      <c r="AE23">
        <v>2443.8860337510901</v>
      </c>
      <c r="AI23">
        <v>746.01563778468199</v>
      </c>
      <c r="AQ23">
        <v>1</v>
      </c>
      <c r="AR23">
        <v>25</v>
      </c>
      <c r="AS23">
        <v>8.3026386999999993E-2</v>
      </c>
      <c r="AT23" s="1">
        <v>8.4635217799999996E-2</v>
      </c>
      <c r="AU23" s="1">
        <v>7.3373407251999998</v>
      </c>
      <c r="AV23" s="1">
        <v>0.27922753989999999</v>
      </c>
      <c r="AW23" s="1">
        <v>0.1046253194</v>
      </c>
      <c r="AX23" s="1">
        <v>5.4085978868</v>
      </c>
      <c r="AY23" s="1">
        <v>2.48571855E-2</v>
      </c>
      <c r="AZ23" s="1">
        <v>0.19595669800000001</v>
      </c>
      <c r="BA23" s="1">
        <v>2.1082704089000002</v>
      </c>
      <c r="BB23" s="1">
        <v>4.5889299600000003E-2</v>
      </c>
      <c r="BC23" s="1">
        <v>5.73616245E-2</v>
      </c>
      <c r="BD23" s="1">
        <v>0.14797390599999999</v>
      </c>
      <c r="BE23" s="1">
        <v>2.1259643299999999E-2</v>
      </c>
      <c r="BF23">
        <v>3.8570498800999999</v>
      </c>
      <c r="BG23">
        <v>-144.85754650850001</v>
      </c>
      <c r="BH23">
        <v>11.088534639200001</v>
      </c>
      <c r="BI23">
        <v>3.8766860327999999</v>
      </c>
      <c r="BJ23">
        <v>1.7020516649999999</v>
      </c>
    </row>
    <row r="24" spans="1:62" x14ac:dyDescent="0.25">
      <c r="A24" t="s">
        <v>99</v>
      </c>
      <c r="B24" t="s">
        <v>63</v>
      </c>
      <c r="C24" t="s">
        <v>64</v>
      </c>
      <c r="D24" t="s">
        <v>65</v>
      </c>
      <c r="L24">
        <v>0.28287757180000001</v>
      </c>
      <c r="P24">
        <v>7.9085972375000004</v>
      </c>
      <c r="AE24">
        <v>1463.8116123453001</v>
      </c>
      <c r="AI24">
        <v>626.38262391277704</v>
      </c>
      <c r="AQ24">
        <v>1</v>
      </c>
      <c r="AR24">
        <v>18</v>
      </c>
      <c r="AS24">
        <v>8.3037459399999999E-2</v>
      </c>
      <c r="AT24" s="1">
        <v>8.4646504799999994E-2</v>
      </c>
      <c r="AU24" s="1">
        <v>7.6894471831000004</v>
      </c>
      <c r="AV24" s="1">
        <v>0.33773730759999998</v>
      </c>
      <c r="AW24" s="1">
        <v>0.1265486696</v>
      </c>
      <c r="AX24" s="1">
        <v>6.7789097729999996</v>
      </c>
      <c r="AY24" s="1">
        <v>2.45682199E-2</v>
      </c>
      <c r="AZ24" s="1">
        <v>0.1936786945</v>
      </c>
      <c r="BA24" s="1">
        <v>2.0655248057</v>
      </c>
      <c r="BB24" s="1">
        <v>4.74301627E-2</v>
      </c>
      <c r="BC24" s="1">
        <v>5.9287703300000001E-2</v>
      </c>
      <c r="BD24" s="1">
        <v>0.1759367261</v>
      </c>
      <c r="BE24" s="1">
        <v>2.5277105500000001E-2</v>
      </c>
      <c r="BF24">
        <v>4.2861363685000002</v>
      </c>
      <c r="BG24">
        <v>-133.01046874459999</v>
      </c>
      <c r="BH24">
        <v>7.4087126398000001</v>
      </c>
      <c r="BI24">
        <v>4.2106616026000001</v>
      </c>
      <c r="BJ24">
        <v>1.2952032864</v>
      </c>
    </row>
    <row r="25" spans="1:62" x14ac:dyDescent="0.25">
      <c r="A25" t="s">
        <v>100</v>
      </c>
      <c r="B25" t="s">
        <v>89</v>
      </c>
      <c r="C25" t="s">
        <v>90</v>
      </c>
      <c r="D25" t="s">
        <v>91</v>
      </c>
      <c r="H25">
        <v>0.36197828050000003</v>
      </c>
      <c r="J25">
        <v>0.59153252339999995</v>
      </c>
      <c r="L25">
        <v>0.26123346269999997</v>
      </c>
      <c r="AA25">
        <v>6657.7720352617898</v>
      </c>
      <c r="AC25">
        <v>114.491724320521</v>
      </c>
      <c r="AE25">
        <v>16252.7398335325</v>
      </c>
      <c r="AQ25">
        <v>1</v>
      </c>
      <c r="AR25">
        <v>35</v>
      </c>
      <c r="AS25">
        <v>8.3047343600000004E-2</v>
      </c>
      <c r="AT25" s="1">
        <v>8.4656580600000003E-2</v>
      </c>
      <c r="AU25" s="1">
        <v>7.2745300981999996</v>
      </c>
      <c r="AV25" s="1">
        <v>0.21220212150000001</v>
      </c>
      <c r="AW25" s="1">
        <v>7.9511192699999997E-2</v>
      </c>
      <c r="AX25" s="1">
        <v>4.2845210873999999</v>
      </c>
      <c r="AY25" s="1">
        <v>2.4908111899999998E-2</v>
      </c>
      <c r="AZ25" s="1">
        <v>0.19635816619999999</v>
      </c>
      <c r="BA25" s="1">
        <v>2.1135315003000001</v>
      </c>
      <c r="BB25" s="1">
        <v>5.9120680799999999E-2</v>
      </c>
      <c r="BC25" s="1">
        <v>7.3900851000000004E-2</v>
      </c>
      <c r="BD25" s="1">
        <v>0.1183662437</v>
      </c>
      <c r="BE25" s="1">
        <v>1.7005863999999999E-2</v>
      </c>
      <c r="BF25">
        <v>3.5714384781000001</v>
      </c>
      <c r="BG25">
        <v>-162.71773608839999</v>
      </c>
      <c r="BH25">
        <v>11.080648930000001</v>
      </c>
      <c r="BI25">
        <v>1.8934792377</v>
      </c>
      <c r="BJ25">
        <v>2.3857577959</v>
      </c>
    </row>
    <row r="26" spans="1:62" x14ac:dyDescent="0.25">
      <c r="A26" t="s">
        <v>101</v>
      </c>
      <c r="B26" t="s">
        <v>102</v>
      </c>
      <c r="C26" t="s">
        <v>103</v>
      </c>
      <c r="D26" t="s">
        <v>104</v>
      </c>
      <c r="H26">
        <v>0.37936283250000002</v>
      </c>
      <c r="J26">
        <v>0.5077564202</v>
      </c>
      <c r="P26">
        <v>8.7007734663999994</v>
      </c>
      <c r="AA26">
        <v>6568.6630140403504</v>
      </c>
      <c r="AC26">
        <v>136.852147297687</v>
      </c>
      <c r="AI26">
        <v>15821.0298848773</v>
      </c>
      <c r="AQ26">
        <v>1</v>
      </c>
      <c r="AR26">
        <v>24</v>
      </c>
      <c r="AS26">
        <v>8.3054871599999996E-2</v>
      </c>
      <c r="AT26" s="1">
        <v>8.4664254499999994E-2</v>
      </c>
      <c r="AU26" s="1">
        <v>7.6759794137000004</v>
      </c>
      <c r="AV26" s="1">
        <v>0.21298577809999999</v>
      </c>
      <c r="AW26" s="1">
        <v>7.9804825400000001E-2</v>
      </c>
      <c r="AX26" s="1">
        <v>3.7344110162000002</v>
      </c>
      <c r="AY26" s="1">
        <v>2.4585000199999998E-2</v>
      </c>
      <c r="AZ26" s="1">
        <v>0.19381097890000001</v>
      </c>
      <c r="BA26" s="1">
        <v>2.0730118097000001</v>
      </c>
      <c r="BB26" s="1">
        <v>6.9335039400000006E-2</v>
      </c>
      <c r="BC26" s="1">
        <v>8.6668799300000002E-2</v>
      </c>
      <c r="BD26" s="1">
        <v>0.1200758337</v>
      </c>
      <c r="BE26" s="1">
        <v>1.72514834E-2</v>
      </c>
      <c r="BF26">
        <v>3.5643272786</v>
      </c>
      <c r="BG26">
        <v>-161.57054308779999</v>
      </c>
      <c r="BH26">
        <v>11.081056568199999</v>
      </c>
      <c r="BI26">
        <v>2.2848933775</v>
      </c>
      <c r="BJ26">
        <v>1.9599941536000001</v>
      </c>
    </row>
    <row r="27" spans="1:62" x14ac:dyDescent="0.25">
      <c r="A27" t="s">
        <v>105</v>
      </c>
      <c r="B27" t="s">
        <v>89</v>
      </c>
      <c r="C27" t="s">
        <v>90</v>
      </c>
      <c r="D27" t="s">
        <v>91</v>
      </c>
      <c r="H27">
        <v>0.28371866200000001</v>
      </c>
      <c r="J27">
        <v>0.55229151310000002</v>
      </c>
      <c r="L27">
        <v>0.26184213810000001</v>
      </c>
      <c r="AA27">
        <v>7181.6367024799101</v>
      </c>
      <c r="AC27">
        <v>122.603224531031</v>
      </c>
      <c r="AE27">
        <v>16309.6059658576</v>
      </c>
      <c r="AQ27">
        <v>1</v>
      </c>
      <c r="AR27">
        <v>25</v>
      </c>
      <c r="AS27">
        <v>8.3065293900000003E-2</v>
      </c>
      <c r="AT27" s="1">
        <v>8.4674878699999998E-2</v>
      </c>
      <c r="AU27" s="1">
        <v>7.2880674383999997</v>
      </c>
      <c r="AV27" s="1">
        <v>0.18659970749999999</v>
      </c>
      <c r="AW27" s="1">
        <v>6.9918081899999998E-2</v>
      </c>
      <c r="AX27" s="1">
        <v>3.9124936881000001</v>
      </c>
      <c r="AY27" s="1">
        <v>2.4898034699999998E-2</v>
      </c>
      <c r="AZ27" s="1">
        <v>0.1962787245</v>
      </c>
      <c r="BA27" s="1">
        <v>2.1132561553999998</v>
      </c>
      <c r="BB27" s="1">
        <v>5.7378303700000001E-2</v>
      </c>
      <c r="BC27" s="1">
        <v>7.1722879599999997E-2</v>
      </c>
      <c r="BD27" s="1">
        <v>0.1068076258</v>
      </c>
      <c r="BE27" s="1">
        <v>1.5345219199999999E-2</v>
      </c>
      <c r="BF27">
        <v>3.4998698730000002</v>
      </c>
      <c r="BG27">
        <v>-170.93807616300001</v>
      </c>
      <c r="BH27">
        <v>11.0780462313</v>
      </c>
      <c r="BI27">
        <v>1.1960511030000001</v>
      </c>
      <c r="BJ27">
        <v>2.7201594187000002</v>
      </c>
    </row>
    <row r="28" spans="1:62" x14ac:dyDescent="0.25">
      <c r="A28" t="s">
        <v>106</v>
      </c>
      <c r="B28" t="s">
        <v>72</v>
      </c>
      <c r="C28" t="s">
        <v>73</v>
      </c>
      <c r="D28" t="s">
        <v>74</v>
      </c>
      <c r="H28">
        <v>0.23838024499999999</v>
      </c>
      <c r="L28">
        <v>0.2783580819</v>
      </c>
      <c r="P28">
        <v>6.9555440738999996</v>
      </c>
      <c r="AA28">
        <v>4244.7759031407004</v>
      </c>
      <c r="AE28">
        <v>6135.5108861102299</v>
      </c>
      <c r="AI28">
        <v>427.580705513309</v>
      </c>
      <c r="AQ28">
        <v>1</v>
      </c>
      <c r="AR28">
        <v>26</v>
      </c>
      <c r="AS28">
        <v>8.3076607400000002E-2</v>
      </c>
      <c r="AT28" s="1">
        <v>8.4686411399999995E-2</v>
      </c>
      <c r="AU28" s="1">
        <v>7.7178160980000001</v>
      </c>
      <c r="AV28" s="1">
        <v>0.33453270140000002</v>
      </c>
      <c r="AW28" s="1">
        <v>0.12534791789999999</v>
      </c>
      <c r="AX28" s="1">
        <v>6.7005828249999997</v>
      </c>
      <c r="AY28" s="1">
        <v>2.4532113599999999E-2</v>
      </c>
      <c r="AZ28" s="1">
        <v>0.1933940582</v>
      </c>
      <c r="BA28" s="1">
        <v>2.0517586975</v>
      </c>
      <c r="BB28" s="1">
        <v>0.1149772372</v>
      </c>
      <c r="BC28" s="1">
        <v>0.14372154649999999</v>
      </c>
      <c r="BD28" s="1">
        <v>0.18209574449999999</v>
      </c>
      <c r="BE28" s="1">
        <v>2.6161981300000001E-2</v>
      </c>
      <c r="BF28">
        <v>4.4988261588</v>
      </c>
      <c r="BG28">
        <v>-128.2578129138</v>
      </c>
      <c r="BH28">
        <v>11.099797222499999</v>
      </c>
      <c r="BI28">
        <v>2.9887073233999999</v>
      </c>
      <c r="BJ28">
        <v>1.1964549044999999</v>
      </c>
    </row>
    <row r="29" spans="1:62" x14ac:dyDescent="0.25">
      <c r="A29" t="s">
        <v>107</v>
      </c>
      <c r="B29" t="s">
        <v>72</v>
      </c>
      <c r="C29" t="s">
        <v>73</v>
      </c>
      <c r="D29" t="s">
        <v>74</v>
      </c>
      <c r="H29">
        <v>0.28189663190000003</v>
      </c>
      <c r="L29">
        <v>0.2987564379</v>
      </c>
      <c r="P29">
        <v>8.7392519048999997</v>
      </c>
      <c r="AA29">
        <v>3747.9693428761302</v>
      </c>
      <c r="AE29">
        <v>460.22582806344099</v>
      </c>
      <c r="AI29">
        <v>434.57205652666897</v>
      </c>
      <c r="AQ29">
        <v>1</v>
      </c>
      <c r="AR29">
        <v>57</v>
      </c>
      <c r="AS29">
        <v>8.3083637200000005E-2</v>
      </c>
      <c r="AT29" s="1">
        <v>8.4693577399999997E-2</v>
      </c>
      <c r="AU29" s="1">
        <v>7.6077832218000001</v>
      </c>
      <c r="AV29" s="1">
        <v>0.3423947356</v>
      </c>
      <c r="AW29" s="1">
        <v>0.1282937871</v>
      </c>
      <c r="AX29" s="1">
        <v>6.8923095111999997</v>
      </c>
      <c r="AY29" s="1">
        <v>2.46457993E-2</v>
      </c>
      <c r="AZ29" s="1">
        <v>0.19429027630000001</v>
      </c>
      <c r="BA29" s="1">
        <v>2.085839692</v>
      </c>
      <c r="BB29" s="1">
        <v>6.0305315300000002E-2</v>
      </c>
      <c r="BC29" s="1">
        <v>7.5381644100000006E-2</v>
      </c>
      <c r="BD29" s="1">
        <v>0.17915160629999999</v>
      </c>
      <c r="BE29" s="1">
        <v>2.5738992400000001E-2</v>
      </c>
      <c r="BF29">
        <v>4.3299390850000004</v>
      </c>
      <c r="BG29">
        <v>-129.5618295072</v>
      </c>
      <c r="BH29">
        <v>11.098733660400001</v>
      </c>
      <c r="BI29">
        <v>4.0468670704000003</v>
      </c>
      <c r="BJ29">
        <v>1.2724867102999999</v>
      </c>
    </row>
    <row r="30" spans="1:62" x14ac:dyDescent="0.25">
      <c r="A30" t="s">
        <v>108</v>
      </c>
      <c r="B30" t="s">
        <v>102</v>
      </c>
      <c r="C30" t="s">
        <v>103</v>
      </c>
      <c r="D30" t="s">
        <v>104</v>
      </c>
      <c r="H30">
        <v>0.3596610885</v>
      </c>
      <c r="J30">
        <v>0.51336445659999996</v>
      </c>
      <c r="P30">
        <v>8.9202791748999992</v>
      </c>
      <c r="AA30">
        <v>6646.7843054888599</v>
      </c>
      <c r="AC30">
        <v>133.03611948571699</v>
      </c>
      <c r="AI30">
        <v>17971.193902925901</v>
      </c>
      <c r="AQ30">
        <v>1</v>
      </c>
      <c r="AR30">
        <v>22</v>
      </c>
      <c r="AS30">
        <v>8.3084859600000005E-2</v>
      </c>
      <c r="AT30" s="1">
        <v>8.4694823500000002E-2</v>
      </c>
      <c r="AU30" s="1">
        <v>7.5123950021999999</v>
      </c>
      <c r="AV30" s="1">
        <v>0.20440505710000001</v>
      </c>
      <c r="AW30" s="1">
        <v>7.6589667299999997E-2</v>
      </c>
      <c r="AX30" s="1">
        <v>3.6771785317000001</v>
      </c>
      <c r="AY30" s="1">
        <v>2.4721199100000001E-2</v>
      </c>
      <c r="AZ30" s="1">
        <v>0.19488467609999999</v>
      </c>
      <c r="BA30" s="1">
        <v>2.0963835293000002</v>
      </c>
      <c r="BB30" s="1">
        <v>5.70559504E-2</v>
      </c>
      <c r="BC30" s="1">
        <v>7.1319937999999999E-2</v>
      </c>
      <c r="BD30" s="1">
        <v>0.11462006850000001</v>
      </c>
      <c r="BE30" s="1">
        <v>1.6467645100000001E-2</v>
      </c>
      <c r="BF30">
        <v>3.4690518268999999</v>
      </c>
      <c r="BG30">
        <v>-165.29058977849999</v>
      </c>
      <c r="BH30">
        <v>11.0797761224</v>
      </c>
      <c r="BI30">
        <v>2.3187187585000002</v>
      </c>
      <c r="BJ30">
        <v>2.2133110299999998</v>
      </c>
    </row>
    <row r="31" spans="1:62" x14ac:dyDescent="0.25">
      <c r="A31" t="s">
        <v>109</v>
      </c>
      <c r="B31" t="s">
        <v>85</v>
      </c>
      <c r="C31" t="s">
        <v>86</v>
      </c>
      <c r="D31" t="s">
        <v>87</v>
      </c>
      <c r="J31">
        <v>0.69893717200000005</v>
      </c>
      <c r="L31">
        <v>0.3025360312</v>
      </c>
      <c r="P31">
        <v>8.8521163626000003</v>
      </c>
      <c r="AC31">
        <v>98.520423437532401</v>
      </c>
      <c r="AE31">
        <v>806.59932264874794</v>
      </c>
      <c r="AI31">
        <v>832.95229307001296</v>
      </c>
      <c r="AQ31">
        <v>1</v>
      </c>
      <c r="AR31">
        <v>43</v>
      </c>
      <c r="AS31">
        <v>8.3086943799999993E-2</v>
      </c>
      <c r="AT31" s="1">
        <v>8.4696948100000002E-2</v>
      </c>
      <c r="AU31" s="1">
        <v>7.6111800817999997</v>
      </c>
      <c r="AV31" s="1">
        <v>0.34108453909999997</v>
      </c>
      <c r="AW31" s="1">
        <v>0.12780286239999999</v>
      </c>
      <c r="AX31" s="1">
        <v>6.8579552177999998</v>
      </c>
      <c r="AY31" s="1">
        <v>2.46431132E-2</v>
      </c>
      <c r="AZ31" s="1">
        <v>0.194269101</v>
      </c>
      <c r="BA31" s="1">
        <v>2.0857178819</v>
      </c>
      <c r="BB31" s="1">
        <v>4.6617801200000003E-2</v>
      </c>
      <c r="BC31" s="1">
        <v>5.8272251499999997E-2</v>
      </c>
      <c r="BD31" s="1">
        <v>0.17749831369999999</v>
      </c>
      <c r="BE31" s="1">
        <v>2.5501461199999999E-2</v>
      </c>
      <c r="BF31">
        <v>4.2860747144999998</v>
      </c>
      <c r="BG31">
        <v>-130.30353362470001</v>
      </c>
      <c r="BH31">
        <v>11.098144013700001</v>
      </c>
      <c r="BI31">
        <v>4.2209469746000003</v>
      </c>
      <c r="BJ31">
        <v>1.2936263836999999</v>
      </c>
    </row>
    <row r="32" spans="1:62" x14ac:dyDescent="0.25">
      <c r="A32" t="s">
        <v>110</v>
      </c>
      <c r="B32" t="s">
        <v>102</v>
      </c>
      <c r="C32" t="s">
        <v>103</v>
      </c>
      <c r="D32" t="s">
        <v>104</v>
      </c>
      <c r="H32">
        <v>0.25620892709999998</v>
      </c>
      <c r="J32">
        <v>0.54635118569999996</v>
      </c>
      <c r="P32">
        <v>8.7829254705000004</v>
      </c>
      <c r="AA32">
        <v>7316.6142264939399</v>
      </c>
      <c r="AC32">
        <v>125.646450996176</v>
      </c>
      <c r="AI32">
        <v>16786.529653662899</v>
      </c>
      <c r="AQ32">
        <v>1</v>
      </c>
      <c r="AR32">
        <v>42</v>
      </c>
      <c r="AS32">
        <v>8.3118200700000006E-2</v>
      </c>
      <c r="AT32" s="1">
        <v>8.4728810700000004E-2</v>
      </c>
      <c r="AU32" s="1">
        <v>7.5983105888000004</v>
      </c>
      <c r="AV32" s="1">
        <v>0.1850697332</v>
      </c>
      <c r="AW32" s="1">
        <v>6.9344807300000005E-2</v>
      </c>
      <c r="AX32" s="1">
        <v>3.8013318673000001</v>
      </c>
      <c r="AY32" s="1">
        <v>2.4655971400000001E-2</v>
      </c>
      <c r="AZ32" s="1">
        <v>0.19437046629999999</v>
      </c>
      <c r="BA32" s="1">
        <v>2.0890879850999999</v>
      </c>
      <c r="BB32" s="1">
        <v>8.8219342399999998E-2</v>
      </c>
      <c r="BC32" s="1">
        <v>0.110274178</v>
      </c>
      <c r="BD32" s="1">
        <v>0.11129915849999999</v>
      </c>
      <c r="BE32" s="1">
        <v>1.5990524700000001E-2</v>
      </c>
      <c r="BF32">
        <v>3.6498009891000001</v>
      </c>
      <c r="BG32">
        <v>-167.64268651419999</v>
      </c>
      <c r="BH32">
        <v>11.079025865</v>
      </c>
      <c r="BI32">
        <v>0.79875386309999996</v>
      </c>
      <c r="BJ32">
        <v>2.4601947172999998</v>
      </c>
    </row>
    <row r="33" spans="1:62" x14ac:dyDescent="0.25">
      <c r="A33" t="s">
        <v>111</v>
      </c>
      <c r="B33" t="s">
        <v>67</v>
      </c>
      <c r="C33" t="s">
        <v>68</v>
      </c>
      <c r="D33" t="s">
        <v>69</v>
      </c>
      <c r="H33">
        <v>0.33458606499999999</v>
      </c>
      <c r="J33">
        <v>0.64047487299999994</v>
      </c>
      <c r="L33">
        <v>0.25744809590000001</v>
      </c>
      <c r="P33">
        <v>7.2562081630000002</v>
      </c>
      <c r="AA33">
        <v>3166.8245369596302</v>
      </c>
      <c r="AC33">
        <v>105.286561766367</v>
      </c>
      <c r="AE33">
        <v>4181.2545138265596</v>
      </c>
      <c r="AI33">
        <v>291.58628366493798</v>
      </c>
      <c r="AQ33">
        <v>1</v>
      </c>
      <c r="AR33">
        <v>35</v>
      </c>
      <c r="AS33">
        <v>8.3123112099999993E-2</v>
      </c>
      <c r="AT33" s="1">
        <v>8.4733817200000006E-2</v>
      </c>
      <c r="AU33" s="1">
        <v>7.2083981794999996</v>
      </c>
      <c r="AV33" s="1">
        <v>0.2711482254</v>
      </c>
      <c r="AW33" s="1">
        <v>0.1015980361</v>
      </c>
      <c r="AX33" s="1">
        <v>5.3005608006999996</v>
      </c>
      <c r="AY33" s="1">
        <v>2.4964206499999999E-2</v>
      </c>
      <c r="AZ33" s="1">
        <v>0.196800377</v>
      </c>
      <c r="BA33" s="1">
        <v>2.1203574998999999</v>
      </c>
      <c r="BB33" s="1">
        <v>4.4118385599999997E-2</v>
      </c>
      <c r="BC33" s="1">
        <v>5.5147981999999998E-2</v>
      </c>
      <c r="BD33" s="1">
        <v>0.14404899809999999</v>
      </c>
      <c r="BE33" s="1">
        <v>2.0695745599999999E-2</v>
      </c>
      <c r="BF33">
        <v>3.7860479441999999</v>
      </c>
      <c r="BG33">
        <v>-145.0081417968</v>
      </c>
      <c r="BH33">
        <v>14.7762679303</v>
      </c>
      <c r="BI33">
        <v>3.5802965861999998</v>
      </c>
      <c r="BJ33">
        <v>1.7803148863</v>
      </c>
    </row>
    <row r="34" spans="1:62" x14ac:dyDescent="0.25">
      <c r="A34" t="s">
        <v>112</v>
      </c>
      <c r="B34" t="s">
        <v>102</v>
      </c>
      <c r="C34" t="s">
        <v>103</v>
      </c>
      <c r="D34" t="s">
        <v>104</v>
      </c>
      <c r="H34">
        <v>0.25468894180000001</v>
      </c>
      <c r="J34">
        <v>0.60640447819999999</v>
      </c>
      <c r="P34">
        <v>8.8207177783000006</v>
      </c>
      <c r="AA34">
        <v>7320.0020072739599</v>
      </c>
      <c r="AC34">
        <v>112.87429045581899</v>
      </c>
      <c r="AI34">
        <v>17155.918227079099</v>
      </c>
      <c r="AQ34">
        <v>1</v>
      </c>
      <c r="AR34">
        <v>37</v>
      </c>
      <c r="AS34">
        <v>8.3138286899999997E-2</v>
      </c>
      <c r="AT34" s="1">
        <v>8.4749286100000001E-2</v>
      </c>
      <c r="AU34" s="1">
        <v>7.5701111246000004</v>
      </c>
      <c r="AV34" s="1">
        <v>0.22641064859999999</v>
      </c>
      <c r="AW34" s="1">
        <v>8.4835064700000004E-2</v>
      </c>
      <c r="AX34" s="1">
        <v>4.5467518828999998</v>
      </c>
      <c r="AY34" s="1">
        <v>2.4679760799999999E-2</v>
      </c>
      <c r="AZ34" s="1">
        <v>0.19455800500000001</v>
      </c>
      <c r="BA34" s="1">
        <v>2.0931128463999999</v>
      </c>
      <c r="BB34" s="1">
        <v>8.9843710199999996E-2</v>
      </c>
      <c r="BC34" s="1">
        <v>0.1123046378</v>
      </c>
      <c r="BD34" s="1">
        <v>0.12928141730000001</v>
      </c>
      <c r="BE34" s="1">
        <v>1.8574064099999999E-2</v>
      </c>
      <c r="BF34">
        <v>3.8363033491</v>
      </c>
      <c r="BG34">
        <v>-155.66109772280001</v>
      </c>
      <c r="BH34">
        <v>11.0833520472</v>
      </c>
      <c r="BI34">
        <v>2.2226798275999999</v>
      </c>
      <c r="BJ34">
        <v>2.0526615343999999</v>
      </c>
    </row>
    <row r="35" spans="1:62" x14ac:dyDescent="0.25">
      <c r="A35" t="s">
        <v>113</v>
      </c>
      <c r="B35" t="s">
        <v>102</v>
      </c>
      <c r="C35" t="s">
        <v>103</v>
      </c>
      <c r="D35" t="s">
        <v>104</v>
      </c>
      <c r="H35">
        <v>0.38326676399999998</v>
      </c>
      <c r="J35">
        <v>0.69470654880000005</v>
      </c>
      <c r="P35">
        <v>8.5763391075000008</v>
      </c>
      <c r="AA35">
        <v>6588.2891890151996</v>
      </c>
      <c r="AC35">
        <v>100.923340774628</v>
      </c>
      <c r="AI35">
        <v>14576.0086345746</v>
      </c>
      <c r="AQ35">
        <v>1</v>
      </c>
      <c r="AR35">
        <v>46</v>
      </c>
      <c r="AS35">
        <v>8.3146527400000003E-2</v>
      </c>
      <c r="AT35" s="1">
        <v>8.4757686299999996E-2</v>
      </c>
      <c r="AU35" s="1">
        <v>7.7612826476999999</v>
      </c>
      <c r="AV35" s="1">
        <v>0.33073323659999998</v>
      </c>
      <c r="AW35" s="1">
        <v>0.1239242752</v>
      </c>
      <c r="AX35" s="1">
        <v>6.5931116422000002</v>
      </c>
      <c r="AY35" s="1">
        <v>2.4516843699999999E-2</v>
      </c>
      <c r="AZ35" s="1">
        <v>0.1932736806</v>
      </c>
      <c r="BA35" s="1">
        <v>2.0610282675999998</v>
      </c>
      <c r="BB35" s="1">
        <v>7.1521936600000002E-2</v>
      </c>
      <c r="BC35" s="1">
        <v>8.9402420799999993E-2</v>
      </c>
      <c r="BD35" s="1">
        <v>0.17465271390000001</v>
      </c>
      <c r="BE35" s="1">
        <v>2.50926294E-2</v>
      </c>
      <c r="BF35">
        <v>4.3059793034</v>
      </c>
      <c r="BG35">
        <v>-131.59646152120001</v>
      </c>
      <c r="BH35">
        <v>11.0971419328</v>
      </c>
      <c r="BI35">
        <v>3.7080338597</v>
      </c>
      <c r="BJ35">
        <v>1.3031818164</v>
      </c>
    </row>
    <row r="36" spans="1:62" x14ac:dyDescent="0.25">
      <c r="A36" t="s">
        <v>114</v>
      </c>
      <c r="B36" t="s">
        <v>85</v>
      </c>
      <c r="C36" t="s">
        <v>86</v>
      </c>
      <c r="D36" t="s">
        <v>87</v>
      </c>
      <c r="J36">
        <v>0.67326954569999997</v>
      </c>
      <c r="L36">
        <v>0.30120901259999999</v>
      </c>
      <c r="P36">
        <v>8.5939030135000003</v>
      </c>
      <c r="AC36">
        <v>103.938763269993</v>
      </c>
      <c r="AE36">
        <v>909.64452250524096</v>
      </c>
      <c r="AI36">
        <v>777.95782633408498</v>
      </c>
      <c r="AQ36">
        <v>1</v>
      </c>
      <c r="AR36">
        <v>52</v>
      </c>
      <c r="AS36">
        <v>8.3166407400000003E-2</v>
      </c>
      <c r="AT36" s="1">
        <v>8.4777951399999996E-2</v>
      </c>
      <c r="AU36" s="1">
        <v>7.7671437388999998</v>
      </c>
      <c r="AV36" s="1">
        <v>0.3042963595</v>
      </c>
      <c r="AW36" s="1">
        <v>0.11401849479999999</v>
      </c>
      <c r="AX36" s="1">
        <v>5.8787865956000003</v>
      </c>
      <c r="AY36" s="1">
        <v>2.4516462900000001E-2</v>
      </c>
      <c r="AZ36" s="1">
        <v>0.1932706783</v>
      </c>
      <c r="BA36" s="1">
        <v>2.0636600469999999</v>
      </c>
      <c r="BB36" s="1">
        <v>4.7539645399999997E-2</v>
      </c>
      <c r="BC36" s="1">
        <v>5.94245568E-2</v>
      </c>
      <c r="BD36" s="1">
        <v>0.1599796866</v>
      </c>
      <c r="BE36" s="1">
        <v>2.29845326E-2</v>
      </c>
      <c r="BF36">
        <v>4.0805402551999999</v>
      </c>
      <c r="BG36">
        <v>-138.61667443409999</v>
      </c>
      <c r="BH36">
        <v>11.0922318625</v>
      </c>
      <c r="BI36">
        <v>4.1496409581</v>
      </c>
      <c r="BJ36">
        <v>1.494062419</v>
      </c>
    </row>
    <row r="37" spans="1:62" x14ac:dyDescent="0.25">
      <c r="A37" t="s">
        <v>115</v>
      </c>
      <c r="B37" t="s">
        <v>102</v>
      </c>
      <c r="C37" t="s">
        <v>103</v>
      </c>
      <c r="D37" t="s">
        <v>104</v>
      </c>
      <c r="H37">
        <v>0.21816139079999999</v>
      </c>
      <c r="J37">
        <v>0.56314640569999996</v>
      </c>
      <c r="P37">
        <v>8.5396784769000007</v>
      </c>
      <c r="AA37">
        <v>7706.3622563295203</v>
      </c>
      <c r="AC37">
        <v>123.725992333097</v>
      </c>
      <c r="AI37">
        <v>14464.3277353221</v>
      </c>
      <c r="AQ37">
        <v>1</v>
      </c>
      <c r="AR37">
        <v>54</v>
      </c>
      <c r="AS37">
        <v>8.3178903900000004E-2</v>
      </c>
      <c r="AT37" s="1">
        <v>8.4790690099999996E-2</v>
      </c>
      <c r="AU37" s="1">
        <v>7.7575651175000004</v>
      </c>
      <c r="AV37" s="1">
        <v>0.186880036</v>
      </c>
      <c r="AW37" s="1">
        <v>7.0023119699999997E-2</v>
      </c>
      <c r="AX37" s="1">
        <v>3.9023929141</v>
      </c>
      <c r="AY37" s="1">
        <v>2.45292654E-2</v>
      </c>
      <c r="AZ37" s="1">
        <v>0.1933716047</v>
      </c>
      <c r="BA37" s="1">
        <v>2.068829112</v>
      </c>
      <c r="BB37" s="1">
        <v>0.14439781290000001</v>
      </c>
      <c r="BC37" s="1">
        <v>0.1804972661</v>
      </c>
      <c r="BD37" s="1">
        <v>0.12579277720000001</v>
      </c>
      <c r="BE37" s="1">
        <v>1.80728457E-2</v>
      </c>
      <c r="BF37">
        <v>3.9225792614000001</v>
      </c>
      <c r="BG37">
        <v>-157.8495481219</v>
      </c>
      <c r="BH37">
        <v>11.082462185100001</v>
      </c>
      <c r="BI37">
        <v>0.5750813629</v>
      </c>
      <c r="BJ37">
        <v>1.9628527312999999</v>
      </c>
    </row>
    <row r="38" spans="1:62" x14ac:dyDescent="0.25">
      <c r="A38" t="s">
        <v>116</v>
      </c>
      <c r="B38" t="s">
        <v>63</v>
      </c>
      <c r="C38" t="s">
        <v>64</v>
      </c>
      <c r="D38" t="s">
        <v>65</v>
      </c>
      <c r="L38">
        <v>0.26826680079999998</v>
      </c>
      <c r="P38">
        <v>5.5278582700000003</v>
      </c>
      <c r="AE38">
        <v>917.74818059438599</v>
      </c>
      <c r="AI38">
        <v>523.66661190002901</v>
      </c>
      <c r="AQ38">
        <v>1</v>
      </c>
      <c r="AR38">
        <v>46</v>
      </c>
      <c r="AS38">
        <v>8.3208398500000003E-2</v>
      </c>
      <c r="AT38" s="1">
        <v>8.48207562E-2</v>
      </c>
      <c r="AU38" s="1">
        <v>6.9447507921999998</v>
      </c>
      <c r="AV38" s="1">
        <v>0.34882927470000002</v>
      </c>
      <c r="AW38" s="1">
        <v>0.1307047804</v>
      </c>
      <c r="AX38" s="1">
        <v>7.0582973003999996</v>
      </c>
      <c r="AY38" s="1">
        <v>2.51753384E-2</v>
      </c>
      <c r="AZ38" s="1">
        <v>0.19846479319999999</v>
      </c>
      <c r="BA38" s="1">
        <v>2.1376011716000001</v>
      </c>
      <c r="BB38" s="1">
        <v>4.5404318700000001E-2</v>
      </c>
      <c r="BC38" s="1">
        <v>5.6755398300000003E-2</v>
      </c>
      <c r="BD38" s="1">
        <v>0.18117729599999999</v>
      </c>
      <c r="BE38" s="1">
        <v>2.60300264E-2</v>
      </c>
      <c r="BF38">
        <v>4.1728661805999998</v>
      </c>
      <c r="BG38">
        <v>-130.66233531629999</v>
      </c>
      <c r="BH38">
        <v>7.4105841208000003</v>
      </c>
      <c r="BI38">
        <v>4.2855287583999999</v>
      </c>
      <c r="BJ38">
        <v>1.2607839315</v>
      </c>
    </row>
    <row r="39" spans="1:62" x14ac:dyDescent="0.25">
      <c r="A39" t="s">
        <v>117</v>
      </c>
      <c r="B39" t="s">
        <v>85</v>
      </c>
      <c r="C39" t="s">
        <v>86</v>
      </c>
      <c r="D39" t="s">
        <v>87</v>
      </c>
      <c r="J39">
        <v>0.57598675629999996</v>
      </c>
      <c r="L39">
        <v>0.31196989349999998</v>
      </c>
      <c r="P39">
        <v>8.8474037135000003</v>
      </c>
      <c r="AC39">
        <v>121.745589766244</v>
      </c>
      <c r="AE39">
        <v>800.08470011943803</v>
      </c>
      <c r="AI39">
        <v>823.14352969471304</v>
      </c>
      <c r="AQ39">
        <v>1</v>
      </c>
      <c r="AR39">
        <v>20</v>
      </c>
      <c r="AS39">
        <v>8.3253628800000007E-2</v>
      </c>
      <c r="AT39" s="1">
        <v>8.4866863000000001E-2</v>
      </c>
      <c r="AU39" s="1">
        <v>7.8234860274000004</v>
      </c>
      <c r="AV39" s="1">
        <v>0.19297931109999999</v>
      </c>
      <c r="AW39" s="1">
        <v>7.2308491000000003E-2</v>
      </c>
      <c r="AX39" s="1">
        <v>3.9893872119</v>
      </c>
      <c r="AY39" s="1">
        <v>2.4475905199999998E-2</v>
      </c>
      <c r="AZ39" s="1">
        <v>0.19295094970000001</v>
      </c>
      <c r="BA39" s="1">
        <v>2.0596755644</v>
      </c>
      <c r="BB39" s="1">
        <v>4.7736781800000003E-2</v>
      </c>
      <c r="BC39" s="1">
        <v>5.9670977200000003E-2</v>
      </c>
      <c r="BD39" s="1">
        <v>0.1084551191</v>
      </c>
      <c r="BE39" s="1">
        <v>1.55819171E-2</v>
      </c>
      <c r="BF39">
        <v>3.6224072684999999</v>
      </c>
      <c r="BG39">
        <v>-169.71350720480001</v>
      </c>
      <c r="BH39">
        <v>11.0784008752</v>
      </c>
      <c r="BI39">
        <v>1.5819647806999999</v>
      </c>
      <c r="BJ39">
        <v>2.6694627442000001</v>
      </c>
    </row>
    <row r="40" spans="1:62" x14ac:dyDescent="0.25">
      <c r="A40" t="s">
        <v>118</v>
      </c>
      <c r="B40" t="s">
        <v>102</v>
      </c>
      <c r="C40" t="s">
        <v>103</v>
      </c>
      <c r="D40" t="s">
        <v>104</v>
      </c>
      <c r="H40">
        <v>0.2071729252</v>
      </c>
      <c r="J40">
        <v>0.68217731770000001</v>
      </c>
      <c r="P40">
        <v>8.8543887877999996</v>
      </c>
      <c r="AA40">
        <v>7641.4345174319296</v>
      </c>
      <c r="AC40">
        <v>99.657658014418502</v>
      </c>
      <c r="AI40">
        <v>17579.570075787298</v>
      </c>
      <c r="AQ40">
        <v>1</v>
      </c>
      <c r="AR40">
        <v>33</v>
      </c>
      <c r="AS40">
        <v>8.3254959500000003E-2</v>
      </c>
      <c r="AT40" s="1">
        <v>8.4868219499999994E-2</v>
      </c>
      <c r="AU40" s="1">
        <v>7.5307370341000004</v>
      </c>
      <c r="AV40" s="1">
        <v>0.32366061540000002</v>
      </c>
      <c r="AW40" s="1">
        <v>0.1212741955</v>
      </c>
      <c r="AX40" s="1">
        <v>6.3886091511999998</v>
      </c>
      <c r="AY40" s="1">
        <v>2.4717741099999999E-2</v>
      </c>
      <c r="AZ40" s="1">
        <v>0.19485741570000001</v>
      </c>
      <c r="BA40" s="1">
        <v>2.1017658245000002</v>
      </c>
      <c r="BB40" s="1">
        <v>0.16016161500000001</v>
      </c>
      <c r="BC40" s="1">
        <v>0.20020201879999999</v>
      </c>
      <c r="BD40" s="1">
        <v>0.1857083008</v>
      </c>
      <c r="BE40" s="1">
        <v>2.6681002999999998E-2</v>
      </c>
      <c r="BF40">
        <v>4.5515491433999999</v>
      </c>
      <c r="BG40">
        <v>-126.6862489457</v>
      </c>
      <c r="BH40">
        <v>11.101125935300001</v>
      </c>
      <c r="BI40">
        <v>2.2486946848999998</v>
      </c>
      <c r="BJ40">
        <v>1.1685733952999999</v>
      </c>
    </row>
    <row r="41" spans="1:62" x14ac:dyDescent="0.25">
      <c r="A41" t="s">
        <v>119</v>
      </c>
      <c r="B41" t="s">
        <v>102</v>
      </c>
      <c r="C41" t="s">
        <v>103</v>
      </c>
      <c r="D41" t="s">
        <v>104</v>
      </c>
      <c r="H41">
        <v>0.27061392839999998</v>
      </c>
      <c r="J41">
        <v>0.57966286339999995</v>
      </c>
      <c r="P41">
        <v>8.3967804793000003</v>
      </c>
      <c r="AA41">
        <v>7441.0138039223202</v>
      </c>
      <c r="AC41">
        <v>121.70274252254301</v>
      </c>
      <c r="AI41">
        <v>12901.278140557401</v>
      </c>
      <c r="AQ41">
        <v>1</v>
      </c>
      <c r="AR41">
        <v>30</v>
      </c>
      <c r="AS41">
        <v>8.3321745200000005E-2</v>
      </c>
      <c r="AT41" s="1">
        <v>8.4936299300000004E-2</v>
      </c>
      <c r="AU41" s="1">
        <v>7.8603748227999999</v>
      </c>
      <c r="AV41" s="1">
        <v>0.194480914</v>
      </c>
      <c r="AW41" s="1">
        <v>7.2871134899999995E-2</v>
      </c>
      <c r="AX41" s="1">
        <v>3.9966719133000002</v>
      </c>
      <c r="AY41" s="1">
        <v>2.4444493300000002E-2</v>
      </c>
      <c r="AZ41" s="1">
        <v>0.19270332079999999</v>
      </c>
      <c r="BA41" s="1">
        <v>2.0516087482000001</v>
      </c>
      <c r="BB41" s="1">
        <v>7.3930117500000003E-2</v>
      </c>
      <c r="BC41" s="1">
        <v>9.2412646900000006E-2</v>
      </c>
      <c r="BD41" s="1">
        <v>0.1127259228</v>
      </c>
      <c r="BE41" s="1">
        <v>1.6195510199999999E-2</v>
      </c>
      <c r="BF41">
        <v>3.6997196853999998</v>
      </c>
      <c r="BG41">
        <v>-166.6236694996</v>
      </c>
      <c r="BH41">
        <v>11.079345496</v>
      </c>
      <c r="BI41">
        <v>1.5212441992000001</v>
      </c>
      <c r="BJ41">
        <v>2.4709936484999999</v>
      </c>
    </row>
    <row r="42" spans="1:62" x14ac:dyDescent="0.25">
      <c r="A42" t="s">
        <v>120</v>
      </c>
      <c r="B42" t="s">
        <v>72</v>
      </c>
      <c r="C42" t="s">
        <v>73</v>
      </c>
      <c r="D42" t="s">
        <v>74</v>
      </c>
      <c r="H42">
        <v>0.20968950550000001</v>
      </c>
      <c r="L42">
        <v>0.30569886930000001</v>
      </c>
      <c r="P42">
        <v>8.5758797256000001</v>
      </c>
      <c r="AA42">
        <v>4469.7693915861601</v>
      </c>
      <c r="AE42">
        <v>717.55436933801195</v>
      </c>
      <c r="AI42">
        <v>605.60809597110494</v>
      </c>
      <c r="AQ42">
        <v>1</v>
      </c>
      <c r="AR42">
        <v>38</v>
      </c>
      <c r="AS42">
        <v>8.3324017900000005E-2</v>
      </c>
      <c r="AT42" s="1">
        <v>8.4938615999999995E-2</v>
      </c>
      <c r="AU42" s="1">
        <v>7.8607144059999996</v>
      </c>
      <c r="AV42" s="1">
        <v>0.33745019170000001</v>
      </c>
      <c r="AW42" s="1">
        <v>0.12644108849999999</v>
      </c>
      <c r="AX42" s="1">
        <v>6.7659097398999997</v>
      </c>
      <c r="AY42" s="1">
        <v>2.44515831E-2</v>
      </c>
      <c r="AZ42" s="1">
        <v>0.1927592119</v>
      </c>
      <c r="BA42" s="1">
        <v>2.0573313140999998</v>
      </c>
      <c r="BB42" s="1">
        <v>0.1594612711</v>
      </c>
      <c r="BC42" s="1">
        <v>0.19932658889999999</v>
      </c>
      <c r="BD42" s="1">
        <v>0.1915993872</v>
      </c>
      <c r="BE42" s="1">
        <v>2.75273846E-2</v>
      </c>
      <c r="BF42">
        <v>4.7169922056000004</v>
      </c>
      <c r="BG42">
        <v>-124.1878889322</v>
      </c>
      <c r="BH42">
        <v>11.1033486875</v>
      </c>
      <c r="BI42">
        <v>2.2596876218999999</v>
      </c>
      <c r="BJ42">
        <v>1.1026702867</v>
      </c>
    </row>
    <row r="43" spans="1:62" x14ac:dyDescent="0.25">
      <c r="A43" t="s">
        <v>121</v>
      </c>
      <c r="B43" t="s">
        <v>72</v>
      </c>
      <c r="C43" t="s">
        <v>73</v>
      </c>
      <c r="D43" t="s">
        <v>74</v>
      </c>
      <c r="H43">
        <v>0.29243100039999997</v>
      </c>
      <c r="L43">
        <v>0.27690697520000002</v>
      </c>
      <c r="P43">
        <v>8.4326391587000007</v>
      </c>
      <c r="AA43">
        <v>3373.8960241508298</v>
      </c>
      <c r="AE43">
        <v>532.70880783943596</v>
      </c>
      <c r="AI43">
        <v>393.16291364490303</v>
      </c>
      <c r="AQ43">
        <v>1</v>
      </c>
      <c r="AR43">
        <v>25</v>
      </c>
      <c r="AS43">
        <v>8.3324400699999995E-2</v>
      </c>
      <c r="AT43" s="1">
        <v>8.4939006299999995E-2</v>
      </c>
      <c r="AU43" s="1">
        <v>7.3137520329000001</v>
      </c>
      <c r="AV43" s="1">
        <v>0.34865354589999997</v>
      </c>
      <c r="AW43" s="1">
        <v>0.13063893560000001</v>
      </c>
      <c r="AX43" s="1">
        <v>7.0461538112</v>
      </c>
      <c r="AY43" s="1">
        <v>2.4889766399999999E-2</v>
      </c>
      <c r="AZ43" s="1">
        <v>0.1962135428</v>
      </c>
      <c r="BA43" s="1">
        <v>2.1198559512999999</v>
      </c>
      <c r="BB43" s="1">
        <v>5.0185376699999999E-2</v>
      </c>
      <c r="BC43" s="1">
        <v>6.2731720899999996E-2</v>
      </c>
      <c r="BD43" s="1">
        <v>0.1814113581</v>
      </c>
      <c r="BE43" s="1">
        <v>2.6063654499999998E-2</v>
      </c>
      <c r="BF43">
        <v>4.2711576112999996</v>
      </c>
      <c r="BG43">
        <v>-128.55905038509999</v>
      </c>
      <c r="BH43">
        <v>11.0995484432</v>
      </c>
      <c r="BI43">
        <v>4.2170833218999997</v>
      </c>
      <c r="BJ43">
        <v>1.2655854625</v>
      </c>
    </row>
    <row r="44" spans="1:62" x14ac:dyDescent="0.25">
      <c r="A44" t="s">
        <v>122</v>
      </c>
      <c r="B44" t="s">
        <v>89</v>
      </c>
      <c r="C44" t="s">
        <v>90</v>
      </c>
      <c r="D44" t="s">
        <v>91</v>
      </c>
      <c r="H44">
        <v>0.31864682350000001</v>
      </c>
      <c r="J44">
        <v>0.50065732249999995</v>
      </c>
      <c r="L44">
        <v>0.28456673719999998</v>
      </c>
      <c r="AA44">
        <v>7208.14023845255</v>
      </c>
      <c r="AC44">
        <v>142.070609596266</v>
      </c>
      <c r="AE44">
        <v>17905.998634322499</v>
      </c>
      <c r="AQ44">
        <v>1</v>
      </c>
      <c r="AR44">
        <v>30</v>
      </c>
      <c r="AS44">
        <v>8.3335627699999998E-2</v>
      </c>
      <c r="AT44" s="1">
        <v>8.4950450799999994E-2</v>
      </c>
      <c r="AU44" s="1">
        <v>7.8431779558999999</v>
      </c>
      <c r="AV44" s="1">
        <v>0.22726098010000001</v>
      </c>
      <c r="AW44" s="1">
        <v>8.5153680199999998E-2</v>
      </c>
      <c r="AX44" s="1">
        <v>3.9501647876999999</v>
      </c>
      <c r="AY44" s="1">
        <v>2.44437534E-2</v>
      </c>
      <c r="AZ44" s="1">
        <v>0.192697488</v>
      </c>
      <c r="BA44" s="1">
        <v>2.0418926980999998</v>
      </c>
      <c r="BB44" s="1">
        <v>4.1432448699999999E-2</v>
      </c>
      <c r="BC44" s="1">
        <v>5.1790560800000003E-2</v>
      </c>
      <c r="BD44" s="1">
        <v>0.1233962366</v>
      </c>
      <c r="BE44" s="1">
        <v>1.7728530900000001E-2</v>
      </c>
      <c r="BF44">
        <v>3.5911431597000001</v>
      </c>
      <c r="BG44">
        <v>-159.38837325599999</v>
      </c>
      <c r="BH44">
        <v>11.0818649935</v>
      </c>
      <c r="BI44">
        <v>2.8463904211000002</v>
      </c>
      <c r="BJ44">
        <v>1.7793126642999999</v>
      </c>
    </row>
    <row r="45" spans="1:62" x14ac:dyDescent="0.25">
      <c r="A45" t="s">
        <v>123</v>
      </c>
      <c r="B45" t="s">
        <v>63</v>
      </c>
      <c r="C45" t="s">
        <v>64</v>
      </c>
      <c r="D45" t="s">
        <v>65</v>
      </c>
      <c r="L45">
        <v>0.26001714869999998</v>
      </c>
      <c r="P45">
        <v>5.8724159912999996</v>
      </c>
      <c r="AE45">
        <v>1202.5052898763799</v>
      </c>
      <c r="AI45">
        <v>568.17314514502505</v>
      </c>
      <c r="AQ45">
        <v>1</v>
      </c>
      <c r="AR45">
        <v>47</v>
      </c>
      <c r="AS45">
        <v>8.3342213400000004E-2</v>
      </c>
      <c r="AT45" s="1">
        <v>8.4957164099999996E-2</v>
      </c>
      <c r="AU45" s="1">
        <v>6.9553418491999999</v>
      </c>
      <c r="AV45" s="1">
        <v>0.34978382149999998</v>
      </c>
      <c r="AW45" s="1">
        <v>0.13106244480000001</v>
      </c>
      <c r="AX45" s="1">
        <v>7.0797300307000004</v>
      </c>
      <c r="AY45" s="1">
        <v>2.5174110900000001E-2</v>
      </c>
      <c r="AZ45" s="1">
        <v>0.19845511660000001</v>
      </c>
      <c r="BA45" s="1">
        <v>2.1403635876</v>
      </c>
      <c r="BB45" s="1">
        <v>4.5357145100000003E-2</v>
      </c>
      <c r="BC45" s="1">
        <v>5.6696431399999997E-2</v>
      </c>
      <c r="BD45" s="1">
        <v>0.1816491486</v>
      </c>
      <c r="BE45" s="1">
        <v>2.6097818200000001E-2</v>
      </c>
      <c r="BF45">
        <v>4.1818544529999997</v>
      </c>
      <c r="BG45">
        <v>-130.45425657620001</v>
      </c>
      <c r="BH45">
        <v>7.4107553213999999</v>
      </c>
      <c r="BI45">
        <v>4.2789161667000002</v>
      </c>
      <c r="BJ45">
        <v>1.2595824519000001</v>
      </c>
    </row>
    <row r="46" spans="1:62" x14ac:dyDescent="0.25">
      <c r="A46" t="s">
        <v>124</v>
      </c>
      <c r="B46" t="s">
        <v>85</v>
      </c>
      <c r="C46" t="s">
        <v>86</v>
      </c>
      <c r="D46" t="s">
        <v>87</v>
      </c>
      <c r="J46">
        <v>0.79746429159999999</v>
      </c>
      <c r="L46">
        <v>0.30179820979999999</v>
      </c>
      <c r="P46">
        <v>8.4354028611</v>
      </c>
      <c r="AC46">
        <v>88.7392183583529</v>
      </c>
      <c r="AE46">
        <v>1012.30850242054</v>
      </c>
      <c r="AI46">
        <v>760.15386979055097</v>
      </c>
      <c r="AQ46">
        <v>1</v>
      </c>
      <c r="AR46">
        <v>34</v>
      </c>
      <c r="AS46">
        <v>8.3373145400000001E-2</v>
      </c>
      <c r="AT46" s="1">
        <v>8.4988695500000003E-2</v>
      </c>
      <c r="AU46" s="1">
        <v>7.8838279574000003</v>
      </c>
      <c r="AV46" s="1">
        <v>0.44726398540000001</v>
      </c>
      <c r="AW46" s="1">
        <v>0.1675878294</v>
      </c>
      <c r="AX46" s="1">
        <v>9.5072949258000001</v>
      </c>
      <c r="AY46" s="1">
        <v>2.4425572199999999E-2</v>
      </c>
      <c r="AZ46" s="1">
        <v>0.19255416019999999</v>
      </c>
      <c r="BA46" s="1">
        <v>2.0477451578000001</v>
      </c>
      <c r="BB46" s="1">
        <v>4.8313618699999998E-2</v>
      </c>
      <c r="BC46" s="1">
        <v>6.0392023400000001E-2</v>
      </c>
      <c r="BD46" s="1">
        <v>0.22908893920000001</v>
      </c>
      <c r="BE46" s="1">
        <v>3.2913567400000003E-2</v>
      </c>
      <c r="BF46">
        <v>5.0174712159999997</v>
      </c>
      <c r="BG46">
        <v>-109.8915975875</v>
      </c>
      <c r="BH46">
        <v>11.1191201044</v>
      </c>
      <c r="BI46">
        <v>4.6463209621999999</v>
      </c>
      <c r="BJ46">
        <v>0.89640732329999995</v>
      </c>
    </row>
    <row r="47" spans="1:62" x14ac:dyDescent="0.25">
      <c r="A47" t="s">
        <v>125</v>
      </c>
      <c r="B47" t="s">
        <v>63</v>
      </c>
      <c r="C47" t="s">
        <v>64</v>
      </c>
      <c r="D47" t="s">
        <v>65</v>
      </c>
      <c r="L47">
        <v>0.26135393969999998</v>
      </c>
      <c r="P47">
        <v>7.8368981510999998</v>
      </c>
      <c r="AE47">
        <v>1907.92627427701</v>
      </c>
      <c r="AI47">
        <v>745.50155582024104</v>
      </c>
      <c r="AQ47">
        <v>1</v>
      </c>
      <c r="AR47">
        <v>23</v>
      </c>
      <c r="AS47">
        <v>8.3377115700000004E-2</v>
      </c>
      <c r="AT47" s="1">
        <v>8.4992742800000007E-2</v>
      </c>
      <c r="AU47" s="1">
        <v>7.2037140439999998</v>
      </c>
      <c r="AV47" s="1">
        <v>0.3495530993</v>
      </c>
      <c r="AW47" s="1">
        <v>0.13097599430000001</v>
      </c>
      <c r="AX47" s="1">
        <v>7.0692958839999998</v>
      </c>
      <c r="AY47" s="1">
        <v>2.4979195400000001E-2</v>
      </c>
      <c r="AZ47" s="1">
        <v>0.1969185386</v>
      </c>
      <c r="BA47" s="1">
        <v>2.127942064</v>
      </c>
      <c r="BB47" s="1">
        <v>4.5447659199999997E-2</v>
      </c>
      <c r="BC47" s="1">
        <v>5.6809574000000002E-2</v>
      </c>
      <c r="BD47" s="1">
        <v>0.18154101650000001</v>
      </c>
      <c r="BE47" s="1">
        <v>2.6082282700000001E-2</v>
      </c>
      <c r="BF47">
        <v>4.2421576140999999</v>
      </c>
      <c r="BG47">
        <v>-130.50189318849999</v>
      </c>
      <c r="BH47">
        <v>7.4107160489000004</v>
      </c>
      <c r="BI47">
        <v>4.2437047111000004</v>
      </c>
      <c r="BJ47">
        <v>1.2657386798000001</v>
      </c>
    </row>
    <row r="48" spans="1:62" x14ac:dyDescent="0.25">
      <c r="A48" t="s">
        <v>126</v>
      </c>
      <c r="B48" t="s">
        <v>102</v>
      </c>
      <c r="C48" t="s">
        <v>103</v>
      </c>
      <c r="D48" t="s">
        <v>104</v>
      </c>
      <c r="H48">
        <v>0.38200191410000001</v>
      </c>
      <c r="J48">
        <v>0.5412002319</v>
      </c>
      <c r="P48">
        <v>8.3749908333</v>
      </c>
      <c r="AA48">
        <v>6620.4747045713002</v>
      </c>
      <c r="AC48">
        <v>131.05226198110901</v>
      </c>
      <c r="AI48">
        <v>12534.3052111095</v>
      </c>
      <c r="AQ48">
        <v>1</v>
      </c>
      <c r="AR48">
        <v>32</v>
      </c>
      <c r="AS48">
        <v>8.33954098E-2</v>
      </c>
      <c r="AT48" s="1">
        <v>8.5011391399999997E-2</v>
      </c>
      <c r="AU48" s="1">
        <v>7.8873863851000001</v>
      </c>
      <c r="AV48" s="1">
        <v>0.18437963660000001</v>
      </c>
      <c r="AW48" s="1">
        <v>6.9086231200000001E-2</v>
      </c>
      <c r="AX48" s="1">
        <v>3.7391525302000002</v>
      </c>
      <c r="AY48" s="1">
        <v>2.44189657E-2</v>
      </c>
      <c r="AZ48" s="1">
        <v>0.19250207920000001</v>
      </c>
      <c r="BA48" s="1">
        <v>2.0440602768999998</v>
      </c>
      <c r="BB48" s="1">
        <v>6.9947414499999999E-2</v>
      </c>
      <c r="BC48" s="1">
        <v>8.7434268199999998E-2</v>
      </c>
      <c r="BD48" s="1">
        <v>0.10774921279999999</v>
      </c>
      <c r="BE48" s="1">
        <v>1.54804985E-2</v>
      </c>
      <c r="BF48">
        <v>3.6126963601000002</v>
      </c>
      <c r="BG48">
        <v>-170.23590844500001</v>
      </c>
      <c r="BH48">
        <v>11.0782482552</v>
      </c>
      <c r="BI48">
        <v>1.172322063</v>
      </c>
      <c r="BJ48">
        <v>2.4938010946000002</v>
      </c>
    </row>
    <row r="49" spans="1:62" x14ac:dyDescent="0.25">
      <c r="A49" t="s">
        <v>127</v>
      </c>
      <c r="B49" t="s">
        <v>102</v>
      </c>
      <c r="C49" t="s">
        <v>103</v>
      </c>
      <c r="D49" t="s">
        <v>104</v>
      </c>
      <c r="H49">
        <v>0.37461279669999997</v>
      </c>
      <c r="J49">
        <v>0.52324787309999998</v>
      </c>
      <c r="P49">
        <v>5.7431250627999999</v>
      </c>
      <c r="AA49">
        <v>6986.3146353846596</v>
      </c>
      <c r="AC49">
        <v>137.59576937932999</v>
      </c>
      <c r="AI49">
        <v>9309.1539765313591</v>
      </c>
      <c r="AQ49">
        <v>1</v>
      </c>
      <c r="AR49">
        <v>21</v>
      </c>
      <c r="AS49">
        <v>8.3410370400000003E-2</v>
      </c>
      <c r="AT49" s="1">
        <v>8.5026641799999997E-2</v>
      </c>
      <c r="AU49" s="1">
        <v>7.7997468679999997</v>
      </c>
      <c r="AV49" s="1">
        <v>0.19694387699999999</v>
      </c>
      <c r="AW49" s="1">
        <v>7.3793996299999998E-2</v>
      </c>
      <c r="AX49" s="1">
        <v>3.5595783577</v>
      </c>
      <c r="AY49" s="1">
        <v>2.4452155E-2</v>
      </c>
      <c r="AZ49" s="1">
        <v>0.19276372010000001</v>
      </c>
      <c r="BA49" s="1">
        <v>2.0278181021999999</v>
      </c>
      <c r="BB49" s="1">
        <v>6.3900768699999999E-2</v>
      </c>
      <c r="BC49" s="1">
        <v>7.9875960900000001E-2</v>
      </c>
      <c r="BD49" s="1">
        <v>0.1122779995</v>
      </c>
      <c r="BE49" s="1">
        <v>1.6131156399999999E-2</v>
      </c>
      <c r="BF49">
        <v>3.5153828660999999</v>
      </c>
      <c r="BG49">
        <v>-166.9421875626</v>
      </c>
      <c r="BH49">
        <v>11.079244711499999</v>
      </c>
      <c r="BI49">
        <v>2.1015567411</v>
      </c>
      <c r="BJ49">
        <v>2.1607384459999999</v>
      </c>
    </row>
    <row r="50" spans="1:62" x14ac:dyDescent="0.25">
      <c r="A50" t="s">
        <v>128</v>
      </c>
      <c r="B50" t="s">
        <v>67</v>
      </c>
      <c r="C50" t="s">
        <v>68</v>
      </c>
      <c r="D50" t="s">
        <v>69</v>
      </c>
      <c r="H50">
        <v>0.2677366739</v>
      </c>
      <c r="J50">
        <v>0.56402050459999997</v>
      </c>
      <c r="L50">
        <v>0.28829854329999999</v>
      </c>
      <c r="P50">
        <v>7.6988108240999997</v>
      </c>
      <c r="AA50">
        <v>3990.0731401581602</v>
      </c>
      <c r="AC50">
        <v>126.2126174493</v>
      </c>
      <c r="AE50">
        <v>1382.4934526700499</v>
      </c>
      <c r="AI50">
        <v>421.18276384649101</v>
      </c>
      <c r="AQ50">
        <v>1</v>
      </c>
      <c r="AR50">
        <v>46</v>
      </c>
      <c r="AS50">
        <v>8.3425740799999995E-2</v>
      </c>
      <c r="AT50" s="1">
        <v>8.5042309999999996E-2</v>
      </c>
      <c r="AU50" s="1">
        <v>7.8878900579</v>
      </c>
      <c r="AV50" s="1">
        <v>0.18442259029999999</v>
      </c>
      <c r="AW50" s="1">
        <v>6.9102325699999995E-2</v>
      </c>
      <c r="AX50" s="1">
        <v>3.8791081374999998</v>
      </c>
      <c r="AY50" s="1">
        <v>2.44145583E-2</v>
      </c>
      <c r="AZ50" s="1">
        <v>0.1924673341</v>
      </c>
      <c r="BA50" s="1">
        <v>2.0400963405999999</v>
      </c>
      <c r="BB50" s="1">
        <v>7.7969829700000007E-2</v>
      </c>
      <c r="BC50" s="1">
        <v>9.7462287100000003E-2</v>
      </c>
      <c r="BD50" s="1">
        <v>0.10914086200000001</v>
      </c>
      <c r="BE50" s="1">
        <v>1.56804389E-2</v>
      </c>
      <c r="BF50">
        <v>3.6893142726999999</v>
      </c>
      <c r="BG50">
        <v>-167.20927351730001</v>
      </c>
      <c r="BH50">
        <v>14.767429544200001</v>
      </c>
      <c r="BI50">
        <v>1.0159283853000001</v>
      </c>
      <c r="BJ50">
        <v>2.5210096494999998</v>
      </c>
    </row>
    <row r="51" spans="1:62" x14ac:dyDescent="0.25">
      <c r="A51" t="s">
        <v>129</v>
      </c>
      <c r="B51" t="s">
        <v>85</v>
      </c>
      <c r="C51" t="s">
        <v>86</v>
      </c>
      <c r="D51" t="s">
        <v>87</v>
      </c>
      <c r="J51">
        <v>0.68345456090000001</v>
      </c>
      <c r="L51">
        <v>0.28355217589999998</v>
      </c>
      <c r="P51">
        <v>8.6953638193000007</v>
      </c>
      <c r="AC51">
        <v>98.033929081618098</v>
      </c>
      <c r="AE51">
        <v>896.39936455204497</v>
      </c>
      <c r="AI51">
        <v>829.51004818899605</v>
      </c>
      <c r="AQ51">
        <v>1</v>
      </c>
      <c r="AR51">
        <v>42</v>
      </c>
      <c r="AS51">
        <v>8.3426003400000004E-2</v>
      </c>
      <c r="AT51" s="1">
        <v>8.5042577800000005E-2</v>
      </c>
      <c r="AU51" s="1">
        <v>7.3064903663000003</v>
      </c>
      <c r="AV51" s="1">
        <v>0.3288232425</v>
      </c>
      <c r="AW51" s="1">
        <v>0.1232086089</v>
      </c>
      <c r="AX51" s="1">
        <v>6.5207970739999999</v>
      </c>
      <c r="AY51" s="1">
        <v>2.48990077E-2</v>
      </c>
      <c r="AZ51" s="1">
        <v>0.196286395</v>
      </c>
      <c r="BA51" s="1">
        <v>2.1232280664999998</v>
      </c>
      <c r="BB51" s="1">
        <v>4.5515093499999999E-2</v>
      </c>
      <c r="BC51" s="1">
        <v>5.6893866899999999E-2</v>
      </c>
      <c r="BD51" s="1">
        <v>0.17159269160000001</v>
      </c>
      <c r="BE51" s="1">
        <v>2.4652991199999998E-2</v>
      </c>
      <c r="BF51">
        <v>4.1311780230000004</v>
      </c>
      <c r="BG51">
        <v>-133.0105346288</v>
      </c>
      <c r="BH51">
        <v>11.0960824141</v>
      </c>
      <c r="BI51">
        <v>4.2154967944999999</v>
      </c>
      <c r="BJ51">
        <v>1.3780936842</v>
      </c>
    </row>
    <row r="52" spans="1:62" x14ac:dyDescent="0.25">
      <c r="A52" t="s">
        <v>130</v>
      </c>
      <c r="B52" t="s">
        <v>63</v>
      </c>
      <c r="C52" t="s">
        <v>64</v>
      </c>
      <c r="D52" t="s">
        <v>65</v>
      </c>
      <c r="L52">
        <v>0.29319772649999998</v>
      </c>
      <c r="P52">
        <v>8.9453080551999999</v>
      </c>
      <c r="AE52">
        <v>775.54626796652201</v>
      </c>
      <c r="AI52">
        <v>852.76842288288503</v>
      </c>
      <c r="AQ52">
        <v>1</v>
      </c>
      <c r="AR52">
        <v>19</v>
      </c>
      <c r="AS52">
        <v>8.3433067200000002E-2</v>
      </c>
      <c r="AT52" s="1">
        <v>8.5049778500000006E-2</v>
      </c>
      <c r="AU52" s="1">
        <v>7.3397681794</v>
      </c>
      <c r="AV52" s="1">
        <v>0.34957815669999998</v>
      </c>
      <c r="AW52" s="1">
        <v>0.13098538309999999</v>
      </c>
      <c r="AX52" s="1">
        <v>7.0668926552000002</v>
      </c>
      <c r="AY52" s="1">
        <v>2.4872699200000001E-2</v>
      </c>
      <c r="AZ52" s="1">
        <v>0.19607899679999999</v>
      </c>
      <c r="BA52" s="1">
        <v>2.1213929317</v>
      </c>
      <c r="BB52" s="1">
        <v>4.5547767199999999E-2</v>
      </c>
      <c r="BC52" s="1">
        <v>5.6934709E-2</v>
      </c>
      <c r="BD52" s="1">
        <v>0.1815621207</v>
      </c>
      <c r="BE52" s="1">
        <v>2.6085314799999999E-2</v>
      </c>
      <c r="BF52">
        <v>4.2760730182</v>
      </c>
      <c r="BG52">
        <v>-130.49259370190001</v>
      </c>
      <c r="BH52">
        <v>7.4107237119000002</v>
      </c>
      <c r="BI52">
        <v>4.2254104785999997</v>
      </c>
      <c r="BJ52">
        <v>1.2688485943000001</v>
      </c>
    </row>
    <row r="53" spans="1:62" x14ac:dyDescent="0.25">
      <c r="A53" t="s">
        <v>131</v>
      </c>
      <c r="B53" t="s">
        <v>85</v>
      </c>
      <c r="C53" t="s">
        <v>86</v>
      </c>
      <c r="D53" t="s">
        <v>87</v>
      </c>
      <c r="J53">
        <v>0.53359892200000003</v>
      </c>
      <c r="L53">
        <v>0.25162728470000001</v>
      </c>
      <c r="P53">
        <v>6.7145186459000001</v>
      </c>
      <c r="AC53">
        <v>124.932328766312</v>
      </c>
      <c r="AE53">
        <v>3799.3892623686602</v>
      </c>
      <c r="AI53">
        <v>645.25421557584298</v>
      </c>
      <c r="AQ53">
        <v>1</v>
      </c>
      <c r="AR53">
        <v>36</v>
      </c>
      <c r="AS53">
        <v>8.3433251E-2</v>
      </c>
      <c r="AT53" s="1">
        <v>8.5049965800000002E-2</v>
      </c>
      <c r="AU53" s="1">
        <v>7.0401428448000001</v>
      </c>
      <c r="AV53" s="1">
        <v>0.18945866389999999</v>
      </c>
      <c r="AW53" s="1">
        <v>7.0989320100000003E-2</v>
      </c>
      <c r="AX53" s="1">
        <v>3.7925624415999999</v>
      </c>
      <c r="AY53" s="1">
        <v>2.5111213199999999E-2</v>
      </c>
      <c r="AZ53" s="1">
        <v>0.19795927460000001</v>
      </c>
      <c r="BA53" s="1">
        <v>2.1382756006000001</v>
      </c>
      <c r="BB53" s="1">
        <v>4.5335883200000003E-2</v>
      </c>
      <c r="BC53" s="1">
        <v>5.6669853999999999E-2</v>
      </c>
      <c r="BD53" s="1">
        <v>0.1067023993</v>
      </c>
      <c r="BE53" s="1">
        <v>1.53301011E-2</v>
      </c>
      <c r="BF53">
        <v>3.3821713085999998</v>
      </c>
      <c r="BG53">
        <v>-171.01693079699999</v>
      </c>
      <c r="BH53">
        <v>11.078023764299999</v>
      </c>
      <c r="BI53">
        <v>1.4499675424</v>
      </c>
      <c r="BJ53">
        <v>2.6891396748999998</v>
      </c>
    </row>
    <row r="54" spans="1:62" x14ac:dyDescent="0.25">
      <c r="A54" t="s">
        <v>132</v>
      </c>
      <c r="B54" t="s">
        <v>63</v>
      </c>
      <c r="C54" t="s">
        <v>64</v>
      </c>
      <c r="D54" t="s">
        <v>65</v>
      </c>
      <c r="L54">
        <v>0.32068797049999997</v>
      </c>
      <c r="P54">
        <v>8.9585940078000004</v>
      </c>
      <c r="AE54">
        <v>749.147305274161</v>
      </c>
      <c r="AI54">
        <v>829.60426220998102</v>
      </c>
      <c r="AQ54">
        <v>1</v>
      </c>
      <c r="AR54">
        <v>30</v>
      </c>
      <c r="AS54">
        <v>8.3439802699999996E-2</v>
      </c>
      <c r="AT54" s="1">
        <v>8.50566445E-2</v>
      </c>
      <c r="AU54" s="1">
        <v>7.9247063358999998</v>
      </c>
      <c r="AV54" s="1">
        <v>0.33590610720000003</v>
      </c>
      <c r="AW54" s="1">
        <v>0.12586252689999999</v>
      </c>
      <c r="AX54" s="1">
        <v>6.7260602743</v>
      </c>
      <c r="AY54" s="1">
        <v>2.4400830599999999E-2</v>
      </c>
      <c r="AZ54" s="1">
        <v>0.19235911450000001</v>
      </c>
      <c r="BA54" s="1">
        <v>2.0486961829000001</v>
      </c>
      <c r="BB54" s="1">
        <v>4.8292886200000003E-2</v>
      </c>
      <c r="BC54" s="1">
        <v>6.0366107799999999E-2</v>
      </c>
      <c r="BD54" s="1">
        <v>0.1751590113</v>
      </c>
      <c r="BE54" s="1">
        <v>2.5165369999999999E-2</v>
      </c>
      <c r="BF54">
        <v>4.3323159385999999</v>
      </c>
      <c r="BG54">
        <v>-133.36488653929999</v>
      </c>
      <c r="BH54">
        <v>7.4084395875000002</v>
      </c>
      <c r="BI54">
        <v>4.1844162214000002</v>
      </c>
      <c r="BJ54">
        <v>1.303864854</v>
      </c>
    </row>
    <row r="55" spans="1:62" x14ac:dyDescent="0.25">
      <c r="A55" t="s">
        <v>133</v>
      </c>
      <c r="B55" t="s">
        <v>102</v>
      </c>
      <c r="C55" t="s">
        <v>103</v>
      </c>
      <c r="D55" t="s">
        <v>104</v>
      </c>
      <c r="H55">
        <v>0.23337671460000001</v>
      </c>
      <c r="J55">
        <v>0.53139079629999997</v>
      </c>
      <c r="P55">
        <v>8.2180206758000001</v>
      </c>
      <c r="AA55">
        <v>7666.66892201056</v>
      </c>
      <c r="AC55">
        <v>133.80393898019901</v>
      </c>
      <c r="AI55">
        <v>11152.754424361599</v>
      </c>
      <c r="AQ55">
        <v>1</v>
      </c>
      <c r="AR55">
        <v>30</v>
      </c>
      <c r="AS55">
        <v>8.35411187E-2</v>
      </c>
      <c r="AT55" s="1">
        <v>8.5159923700000001E-2</v>
      </c>
      <c r="AU55" s="1">
        <v>7.9552551145999999</v>
      </c>
      <c r="AV55" s="1">
        <v>0.18963494350000001</v>
      </c>
      <c r="AW55" s="1">
        <v>7.1055371300000003E-2</v>
      </c>
      <c r="AX55" s="1">
        <v>3.6792171818999999</v>
      </c>
      <c r="AY55" s="1">
        <v>2.4373690900000002E-2</v>
      </c>
      <c r="AZ55" s="1">
        <v>0.19214516409999999</v>
      </c>
      <c r="BA55" s="1">
        <v>2.0400789516</v>
      </c>
      <c r="BB55" s="1">
        <v>0.1230643375</v>
      </c>
      <c r="BC55" s="1">
        <v>0.15383042189999999</v>
      </c>
      <c r="BD55" s="1">
        <v>0.1211191957</v>
      </c>
      <c r="BE55" s="1">
        <v>1.7401384900000001E-2</v>
      </c>
      <c r="BF55">
        <v>3.8310800618999998</v>
      </c>
      <c r="BG55">
        <v>-160.87841038049999</v>
      </c>
      <c r="BH55">
        <v>11.081308221900001</v>
      </c>
      <c r="BI55">
        <v>0.59199848290000001</v>
      </c>
      <c r="BJ55">
        <v>1.9497629472</v>
      </c>
    </row>
    <row r="56" spans="1:62" x14ac:dyDescent="0.25">
      <c r="A56" t="s">
        <v>134</v>
      </c>
      <c r="B56" t="s">
        <v>89</v>
      </c>
      <c r="C56" t="s">
        <v>90</v>
      </c>
      <c r="D56" t="s">
        <v>91</v>
      </c>
      <c r="H56">
        <v>0.37730961489999998</v>
      </c>
      <c r="J56">
        <v>0.55476590140000004</v>
      </c>
      <c r="L56">
        <v>0.28758598419999998</v>
      </c>
      <c r="AA56">
        <v>6619.7278217326402</v>
      </c>
      <c r="AC56">
        <v>129.102405528303</v>
      </c>
      <c r="AE56">
        <v>18110.062429018701</v>
      </c>
      <c r="AQ56">
        <v>1</v>
      </c>
      <c r="AR56">
        <v>28</v>
      </c>
      <c r="AS56">
        <v>8.3564050500000001E-2</v>
      </c>
      <c r="AT56" s="1">
        <v>8.5183299899999995E-2</v>
      </c>
      <c r="AU56" s="1">
        <v>7.9208924282000002</v>
      </c>
      <c r="AV56" s="1">
        <v>0.18195290110000001</v>
      </c>
      <c r="AW56" s="1">
        <v>6.8176944099999998E-2</v>
      </c>
      <c r="AX56" s="1">
        <v>3.8109617247999998</v>
      </c>
      <c r="AY56" s="1">
        <v>2.43851572E-2</v>
      </c>
      <c r="AZ56" s="1">
        <v>0.19223555589999999</v>
      </c>
      <c r="BA56" s="1">
        <v>2.0315563101</v>
      </c>
      <c r="BB56" s="1">
        <v>6.6136104500000001E-2</v>
      </c>
      <c r="BC56" s="1">
        <v>8.2670130699999997E-2</v>
      </c>
      <c r="BD56" s="1">
        <v>0.106134854</v>
      </c>
      <c r="BE56" s="1">
        <v>1.5248561000000001E-2</v>
      </c>
      <c r="BF56">
        <v>3.6192807853</v>
      </c>
      <c r="BG56">
        <v>-171.44358284840001</v>
      </c>
      <c r="BH56">
        <v>11.0779029696</v>
      </c>
      <c r="BI56">
        <v>1.0342381086000001</v>
      </c>
      <c r="BJ56">
        <v>2.5938609107000001</v>
      </c>
    </row>
    <row r="57" spans="1:62" x14ac:dyDescent="0.25">
      <c r="A57" t="s">
        <v>135</v>
      </c>
      <c r="B57" t="s">
        <v>102</v>
      </c>
      <c r="C57" t="s">
        <v>103</v>
      </c>
      <c r="D57" t="s">
        <v>104</v>
      </c>
      <c r="H57">
        <v>0.33245593890000003</v>
      </c>
      <c r="J57">
        <v>0.57637294579999998</v>
      </c>
      <c r="P57">
        <v>8.2513180129000006</v>
      </c>
      <c r="AA57">
        <v>6987.7907216302301</v>
      </c>
      <c r="AC57">
        <v>123.687848568676</v>
      </c>
      <c r="AI57">
        <v>11319.399333871999</v>
      </c>
      <c r="AQ57">
        <v>1</v>
      </c>
      <c r="AR57">
        <v>37</v>
      </c>
      <c r="AS57">
        <v>8.3564895599999994E-2</v>
      </c>
      <c r="AT57" s="1">
        <v>8.51841614E-2</v>
      </c>
      <c r="AU57" s="1">
        <v>7.9528463939999998</v>
      </c>
      <c r="AV57" s="1">
        <v>0.19056370289999999</v>
      </c>
      <c r="AW57" s="1">
        <v>7.1403373300000003E-2</v>
      </c>
      <c r="AX57" s="1">
        <v>3.9614915429000002</v>
      </c>
      <c r="AY57" s="1">
        <v>2.4371047100000001E-2</v>
      </c>
      <c r="AZ57" s="1">
        <v>0.19212432160000001</v>
      </c>
      <c r="BA57" s="1">
        <v>2.0365482303000002</v>
      </c>
      <c r="BB57" s="1">
        <v>4.24483877E-2</v>
      </c>
      <c r="BC57" s="1">
        <v>5.3060484599999999E-2</v>
      </c>
      <c r="BD57" s="1">
        <v>0.1068801083</v>
      </c>
      <c r="BE57" s="1">
        <v>1.5355632899999999E-2</v>
      </c>
      <c r="BF57">
        <v>3.6145644380999999</v>
      </c>
      <c r="BG57">
        <v>-170.88380448129999</v>
      </c>
      <c r="BH57">
        <v>11.078061719900001</v>
      </c>
      <c r="BI57">
        <v>1.602163515</v>
      </c>
      <c r="BJ57">
        <v>2.6919504057000001</v>
      </c>
    </row>
    <row r="58" spans="1:62" x14ac:dyDescent="0.25">
      <c r="A58" t="s">
        <v>136</v>
      </c>
      <c r="B58" t="s">
        <v>102</v>
      </c>
      <c r="C58" t="s">
        <v>103</v>
      </c>
      <c r="D58" t="s">
        <v>104</v>
      </c>
      <c r="H58">
        <v>0.2108341047</v>
      </c>
      <c r="J58">
        <v>0.52545561549999997</v>
      </c>
      <c r="P58">
        <v>5.7577640134000001</v>
      </c>
      <c r="AA58">
        <v>8332.1481492540406</v>
      </c>
      <c r="AC58">
        <v>137.67436587973401</v>
      </c>
      <c r="AI58">
        <v>9142.8467317703908</v>
      </c>
      <c r="AQ58">
        <v>1</v>
      </c>
      <c r="AR58">
        <v>29</v>
      </c>
      <c r="AS58">
        <v>8.3610000300000001E-2</v>
      </c>
      <c r="AT58" s="1">
        <v>8.5230139999999996E-2</v>
      </c>
      <c r="AU58" s="1">
        <v>7.8461085722000004</v>
      </c>
      <c r="AV58" s="1">
        <v>0.19513398339999999</v>
      </c>
      <c r="AW58" s="1">
        <v>7.3115837099999997E-2</v>
      </c>
      <c r="AX58" s="1">
        <v>3.5711813762000002</v>
      </c>
      <c r="AY58" s="1">
        <v>2.4411719200000001E-2</v>
      </c>
      <c r="AZ58" s="1">
        <v>0.1924449527</v>
      </c>
      <c r="BA58" s="1">
        <v>2.0269395529000001</v>
      </c>
      <c r="BB58" s="1">
        <v>0.1606621184</v>
      </c>
      <c r="BC58" s="1">
        <v>0.200827648</v>
      </c>
      <c r="BD58" s="1">
        <v>0.13367512100000001</v>
      </c>
      <c r="BE58" s="1">
        <v>1.92053144E-2</v>
      </c>
      <c r="BF58">
        <v>3.9112382199</v>
      </c>
      <c r="BG58">
        <v>-152.98743142219999</v>
      </c>
      <c r="BH58">
        <v>11.0845074003</v>
      </c>
      <c r="BI58">
        <v>0.76985203940000002</v>
      </c>
      <c r="BJ58">
        <v>1.5350402852</v>
      </c>
    </row>
    <row r="59" spans="1:62" x14ac:dyDescent="0.25">
      <c r="A59" t="s">
        <v>137</v>
      </c>
      <c r="B59" t="s">
        <v>89</v>
      </c>
      <c r="C59" t="s">
        <v>90</v>
      </c>
      <c r="D59" t="s">
        <v>91</v>
      </c>
      <c r="H59">
        <v>0.30971074380000002</v>
      </c>
      <c r="J59">
        <v>0.5393987415</v>
      </c>
      <c r="L59">
        <v>0.25337277330000002</v>
      </c>
      <c r="AA59">
        <v>6907.8155244685504</v>
      </c>
      <c r="AC59">
        <v>123.060628894383</v>
      </c>
      <c r="AE59">
        <v>15713.197152966</v>
      </c>
      <c r="AQ59">
        <v>1</v>
      </c>
      <c r="AR59">
        <v>29</v>
      </c>
      <c r="AS59">
        <v>8.3611409799999994E-2</v>
      </c>
      <c r="AT59" s="1">
        <v>8.52315768E-2</v>
      </c>
      <c r="AU59" s="1">
        <v>7.0902056963</v>
      </c>
      <c r="AV59" s="1">
        <v>0.18847926070000001</v>
      </c>
      <c r="AW59" s="1">
        <v>7.0622342099999999E-2</v>
      </c>
      <c r="AX59" s="1">
        <v>3.8674695375999999</v>
      </c>
      <c r="AY59" s="1">
        <v>2.5078507999999999E-2</v>
      </c>
      <c r="AZ59" s="1">
        <v>0.1977014496</v>
      </c>
      <c r="BA59" s="1">
        <v>2.1398451728999999</v>
      </c>
      <c r="BB59" s="1">
        <v>4.1862525999999997E-2</v>
      </c>
      <c r="BC59" s="1">
        <v>5.23281575E-2</v>
      </c>
      <c r="BD59" s="1">
        <v>0.10594420960000001</v>
      </c>
      <c r="BE59" s="1">
        <v>1.5221170799999999E-2</v>
      </c>
      <c r="BF59">
        <v>3.4064619922000001</v>
      </c>
      <c r="BG59">
        <v>-171.58741182029999</v>
      </c>
      <c r="BH59">
        <v>11.0778625379</v>
      </c>
      <c r="BI59">
        <v>1.3014022058000001</v>
      </c>
      <c r="BJ59">
        <v>2.7739948583</v>
      </c>
    </row>
    <row r="60" spans="1:62" x14ac:dyDescent="0.25">
      <c r="A60" t="s">
        <v>138</v>
      </c>
      <c r="B60" t="s">
        <v>102</v>
      </c>
      <c r="C60" t="s">
        <v>103</v>
      </c>
      <c r="D60" t="s">
        <v>104</v>
      </c>
      <c r="H60">
        <v>0.3216126688</v>
      </c>
      <c r="J60">
        <v>0.78126779820000003</v>
      </c>
      <c r="P60">
        <v>5.8276255483000003</v>
      </c>
      <c r="AA60">
        <v>7408.0397982775403</v>
      </c>
      <c r="AC60">
        <v>92.605019491423207</v>
      </c>
      <c r="AI60">
        <v>8914.1634052070203</v>
      </c>
      <c r="AQ60">
        <v>1</v>
      </c>
      <c r="AR60">
        <v>26</v>
      </c>
      <c r="AS60">
        <v>8.3629131900000001E-2</v>
      </c>
      <c r="AT60" s="1">
        <v>8.5249642400000006E-2</v>
      </c>
      <c r="AU60" s="1">
        <v>7.8628315584999999</v>
      </c>
      <c r="AV60" s="1">
        <v>0.42352504880000003</v>
      </c>
      <c r="AW60" s="1">
        <v>0.15869295529999999</v>
      </c>
      <c r="AX60" s="1">
        <v>8.9377436340000003</v>
      </c>
      <c r="AY60" s="1">
        <v>2.4405207200000001E-2</v>
      </c>
      <c r="AZ60" s="1">
        <v>0.19239361660000001</v>
      </c>
      <c r="BA60" s="1">
        <v>2.0255590508000001</v>
      </c>
      <c r="BB60" s="1">
        <v>4.1533131799999998E-2</v>
      </c>
      <c r="BC60" s="1">
        <v>5.1916414799999998E-2</v>
      </c>
      <c r="BD60" s="1">
        <v>0.21719111050000001</v>
      </c>
      <c r="BE60" s="1">
        <v>3.1204187599999999E-2</v>
      </c>
      <c r="BF60">
        <v>4.8358460521</v>
      </c>
      <c r="BG60">
        <v>-114.1582095735</v>
      </c>
      <c r="BH60">
        <v>11.113810340800001</v>
      </c>
      <c r="BI60">
        <v>4.6354726973</v>
      </c>
      <c r="BJ60">
        <v>0.94602364169999997</v>
      </c>
    </row>
    <row r="61" spans="1:62" x14ac:dyDescent="0.25">
      <c r="A61" t="s">
        <v>139</v>
      </c>
      <c r="B61" t="s">
        <v>85</v>
      </c>
      <c r="C61" t="s">
        <v>86</v>
      </c>
      <c r="D61" t="s">
        <v>87</v>
      </c>
      <c r="J61">
        <v>0.5261395204</v>
      </c>
      <c r="L61">
        <v>0.29580549090000002</v>
      </c>
      <c r="P61">
        <v>6.1181382225999998</v>
      </c>
      <c r="AC61">
        <v>137.765862197958</v>
      </c>
      <c r="AE61">
        <v>1418.1373557596401</v>
      </c>
      <c r="AI61">
        <v>559.901423461695</v>
      </c>
      <c r="AQ61">
        <v>1</v>
      </c>
      <c r="AR61">
        <v>39</v>
      </c>
      <c r="AS61">
        <v>8.3798546200000004E-2</v>
      </c>
      <c r="AT61" s="1">
        <v>8.5422339400000005E-2</v>
      </c>
      <c r="AU61" s="1">
        <v>7.9250165216999999</v>
      </c>
      <c r="AV61" s="1">
        <v>0.19475662990000001</v>
      </c>
      <c r="AW61" s="1">
        <v>7.2974444499999999E-2</v>
      </c>
      <c r="AX61" s="1">
        <v>3.5869846528</v>
      </c>
      <c r="AY61" s="1">
        <v>2.4364171300000001E-2</v>
      </c>
      <c r="AZ61" s="1">
        <v>0.19207011839999999</v>
      </c>
      <c r="BA61" s="1">
        <v>2.0229508310000002</v>
      </c>
      <c r="BB61" s="1">
        <v>4.989528E-2</v>
      </c>
      <c r="BC61" s="1">
        <v>6.2369099999999997E-2</v>
      </c>
      <c r="BD61" s="1">
        <v>0.1095850047</v>
      </c>
      <c r="BE61" s="1">
        <v>1.5744249599999999E-2</v>
      </c>
      <c r="BF61">
        <v>3.5500274330999999</v>
      </c>
      <c r="BG61">
        <v>-168.88437855940001</v>
      </c>
      <c r="BH61">
        <v>11.0786472356</v>
      </c>
      <c r="BI61">
        <v>1.7396479475</v>
      </c>
      <c r="BJ61">
        <v>2.2652609093999998</v>
      </c>
    </row>
    <row r="62" spans="1:62" x14ac:dyDescent="0.25">
      <c r="A62" t="s">
        <v>140</v>
      </c>
      <c r="B62" t="s">
        <v>102</v>
      </c>
      <c r="C62" t="s">
        <v>103</v>
      </c>
      <c r="D62" t="s">
        <v>104</v>
      </c>
      <c r="H62">
        <v>0.28159562510000002</v>
      </c>
      <c r="J62">
        <v>0.52529058770000003</v>
      </c>
      <c r="P62">
        <v>8.0237670597000008</v>
      </c>
      <c r="AA62">
        <v>7363.1897397969196</v>
      </c>
      <c r="AC62">
        <v>136.91155601557401</v>
      </c>
      <c r="AI62">
        <v>9054.5828788893796</v>
      </c>
      <c r="AQ62">
        <v>1</v>
      </c>
      <c r="AR62">
        <v>30</v>
      </c>
      <c r="AS62">
        <v>8.3909488099999999E-2</v>
      </c>
      <c r="AT62" s="1">
        <v>8.5535431100000003E-2</v>
      </c>
      <c r="AU62" s="1">
        <v>8.0609327956999994</v>
      </c>
      <c r="AV62" s="1">
        <v>0.19539327849999999</v>
      </c>
      <c r="AW62" s="1">
        <v>7.3212993899999995E-2</v>
      </c>
      <c r="AX62" s="1">
        <v>3.6261175113999999</v>
      </c>
      <c r="AY62" s="1">
        <v>2.4292510199999999E-2</v>
      </c>
      <c r="AZ62" s="1">
        <v>0.19150519220000001</v>
      </c>
      <c r="BA62" s="1">
        <v>2.0233102985000002</v>
      </c>
      <c r="BB62" s="1">
        <v>6.4566488800000002E-2</v>
      </c>
      <c r="BC62" s="1">
        <v>8.0708110999999999E-2</v>
      </c>
      <c r="BD62" s="1">
        <v>0.1117791271</v>
      </c>
      <c r="BE62" s="1">
        <v>1.6059482600000001E-2</v>
      </c>
      <c r="BF62">
        <v>3.6302727298000002</v>
      </c>
      <c r="BG62">
        <v>-167.29843475609999</v>
      </c>
      <c r="BH62">
        <v>11.079132935600001</v>
      </c>
      <c r="BI62">
        <v>1.4246515781</v>
      </c>
      <c r="BJ62">
        <v>2.2239901467999998</v>
      </c>
    </row>
    <row r="63" spans="1:62" x14ac:dyDescent="0.25">
      <c r="A63" t="s">
        <v>141</v>
      </c>
      <c r="B63" t="s">
        <v>102</v>
      </c>
      <c r="C63" t="s">
        <v>103</v>
      </c>
      <c r="D63" t="s">
        <v>104</v>
      </c>
      <c r="H63">
        <v>0.38119881909999997</v>
      </c>
      <c r="J63">
        <v>0.59549878460000005</v>
      </c>
      <c r="P63">
        <v>8.0677614388999999</v>
      </c>
      <c r="AA63">
        <v>6768.7824008152902</v>
      </c>
      <c r="AC63">
        <v>120.90555048053299</v>
      </c>
      <c r="AI63">
        <v>9372.1039033077795</v>
      </c>
      <c r="AQ63">
        <v>1</v>
      </c>
      <c r="AR63">
        <v>31</v>
      </c>
      <c r="AS63">
        <v>8.3911213700000001E-2</v>
      </c>
      <c r="AT63" s="1">
        <v>8.5537190200000002E-2</v>
      </c>
      <c r="AU63" s="1">
        <v>8.0503018922000003</v>
      </c>
      <c r="AV63" s="1">
        <v>0.20422542439999999</v>
      </c>
      <c r="AW63" s="1">
        <v>7.6522359700000001E-2</v>
      </c>
      <c r="AX63" s="1">
        <v>4.0656635939000001</v>
      </c>
      <c r="AY63" s="1">
        <v>2.4297427600000001E-2</v>
      </c>
      <c r="AZ63" s="1">
        <v>0.19154395699999999</v>
      </c>
      <c r="BA63" s="1">
        <v>2.0219714915</v>
      </c>
      <c r="BB63" s="1">
        <v>6.8610276799999995E-2</v>
      </c>
      <c r="BC63" s="1">
        <v>8.5762846000000004E-2</v>
      </c>
      <c r="BD63" s="1">
        <v>0.1162398929</v>
      </c>
      <c r="BE63" s="1">
        <v>1.6700367800000001E-2</v>
      </c>
      <c r="BF63">
        <v>3.7227873718</v>
      </c>
      <c r="BG63">
        <v>-164.16793447980001</v>
      </c>
      <c r="BH63">
        <v>11.080150075000001</v>
      </c>
      <c r="BI63">
        <v>1.6934188589000001</v>
      </c>
      <c r="BJ63">
        <v>2.343220402</v>
      </c>
    </row>
    <row r="64" spans="1:62" x14ac:dyDescent="0.25">
      <c r="A64" t="s">
        <v>142</v>
      </c>
      <c r="B64" t="s">
        <v>67</v>
      </c>
      <c r="C64" t="s">
        <v>68</v>
      </c>
      <c r="D64" t="s">
        <v>69</v>
      </c>
      <c r="H64">
        <v>0.33878000110000001</v>
      </c>
      <c r="J64">
        <v>0.70100368700000004</v>
      </c>
      <c r="L64">
        <v>0.3008746766</v>
      </c>
      <c r="P64">
        <v>8.0822432716999995</v>
      </c>
      <c r="AA64">
        <v>3794.7950623698298</v>
      </c>
      <c r="AC64">
        <v>102.723526913716</v>
      </c>
      <c r="AE64">
        <v>681.44865853726503</v>
      </c>
      <c r="AI64">
        <v>353.81354937116902</v>
      </c>
      <c r="AQ64">
        <v>1</v>
      </c>
      <c r="AR64">
        <v>17</v>
      </c>
      <c r="AS64">
        <v>8.3934003199999996E-2</v>
      </c>
      <c r="AT64" s="1">
        <v>8.55604212E-2</v>
      </c>
      <c r="AU64" s="1">
        <v>8.0617798579999995</v>
      </c>
      <c r="AV64" s="1">
        <v>0.33184687600000001</v>
      </c>
      <c r="AW64" s="1">
        <v>0.12434155099999999</v>
      </c>
      <c r="AX64" s="1">
        <v>6.6226824502000001</v>
      </c>
      <c r="AY64" s="1">
        <v>2.4290645699999999E-2</v>
      </c>
      <c r="AZ64" s="1">
        <v>0.19149049379999999</v>
      </c>
      <c r="BA64" s="1">
        <v>2.0218348742000001</v>
      </c>
      <c r="BB64" s="1">
        <v>4.4326893999999999E-2</v>
      </c>
      <c r="BC64" s="1">
        <v>5.54086175E-2</v>
      </c>
      <c r="BD64" s="1">
        <v>0.1730044617</v>
      </c>
      <c r="BE64" s="1">
        <v>2.4855822499999999E-2</v>
      </c>
      <c r="BF64">
        <v>4.3050100847000001</v>
      </c>
      <c r="BG64">
        <v>-130.3550315832</v>
      </c>
      <c r="BH64">
        <v>14.7854483602</v>
      </c>
      <c r="BI64">
        <v>4.2998744127000004</v>
      </c>
      <c r="BJ64">
        <v>1.3119781404999999</v>
      </c>
    </row>
    <row r="65" spans="1:62" x14ac:dyDescent="0.25">
      <c r="A65" t="s">
        <v>143</v>
      </c>
      <c r="B65" t="s">
        <v>85</v>
      </c>
      <c r="C65" t="s">
        <v>86</v>
      </c>
      <c r="D65" t="s">
        <v>87</v>
      </c>
      <c r="J65">
        <v>0.67414788240000001</v>
      </c>
      <c r="L65">
        <v>0.27630015940000002</v>
      </c>
      <c r="P65">
        <v>8.7128114832999994</v>
      </c>
      <c r="AC65">
        <v>97.639360894472404</v>
      </c>
      <c r="AE65">
        <v>917.81428773823802</v>
      </c>
      <c r="AI65">
        <v>861.28187919750201</v>
      </c>
      <c r="AQ65">
        <v>1</v>
      </c>
      <c r="AR65">
        <v>36</v>
      </c>
      <c r="AS65">
        <v>8.4006865E-2</v>
      </c>
      <c r="AT65" s="1">
        <v>8.5634694900000002E-2</v>
      </c>
      <c r="AU65" s="1">
        <v>7.1388283413</v>
      </c>
      <c r="AV65" s="1">
        <v>0.32183181039999997</v>
      </c>
      <c r="AW65" s="1">
        <v>0.12058895040000001</v>
      </c>
      <c r="AX65" s="1">
        <v>6.3176104603000001</v>
      </c>
      <c r="AY65" s="1">
        <v>2.5050709500000001E-2</v>
      </c>
      <c r="AZ65" s="1">
        <v>0.19748230550000001</v>
      </c>
      <c r="BA65" s="1">
        <v>2.1457174971000001</v>
      </c>
      <c r="BB65" s="1">
        <v>4.51749101E-2</v>
      </c>
      <c r="BC65" s="1">
        <v>5.6468637699999998E-2</v>
      </c>
      <c r="BD65" s="1">
        <v>0.16830120179999999</v>
      </c>
      <c r="BE65" s="1">
        <v>2.41800977E-2</v>
      </c>
      <c r="BF65">
        <v>4.0420557158000001</v>
      </c>
      <c r="BG65">
        <v>-134.56000296319999</v>
      </c>
      <c r="BH65">
        <v>11.094963656899999</v>
      </c>
      <c r="BI65">
        <v>4.2042857301999996</v>
      </c>
      <c r="BJ65">
        <v>1.4324497094999999</v>
      </c>
    </row>
    <row r="66" spans="1:62" x14ac:dyDescent="0.25">
      <c r="A66" t="s">
        <v>144</v>
      </c>
      <c r="B66" t="s">
        <v>102</v>
      </c>
      <c r="C66" t="s">
        <v>103</v>
      </c>
      <c r="D66" t="s">
        <v>104</v>
      </c>
      <c r="H66">
        <v>0.3621916443</v>
      </c>
      <c r="J66">
        <v>0.54609503449999997</v>
      </c>
      <c r="P66">
        <v>6.0562322661000003</v>
      </c>
      <c r="AA66">
        <v>7124.5890559486998</v>
      </c>
      <c r="AC66">
        <v>133.346253736074</v>
      </c>
      <c r="AI66">
        <v>7784.4741648476902</v>
      </c>
      <c r="AQ66">
        <v>1</v>
      </c>
      <c r="AR66">
        <v>26</v>
      </c>
      <c r="AS66">
        <v>8.4064576000000002E-2</v>
      </c>
      <c r="AT66" s="1">
        <v>8.5693524199999996E-2</v>
      </c>
      <c r="AU66" s="1">
        <v>7.9915376032000003</v>
      </c>
      <c r="AV66" s="1">
        <v>0.18234970710000001</v>
      </c>
      <c r="AW66" s="1">
        <v>6.8325625599999995E-2</v>
      </c>
      <c r="AX66" s="1">
        <v>3.7251860244000001</v>
      </c>
      <c r="AY66" s="1">
        <v>2.4317414900000001E-2</v>
      </c>
      <c r="AZ66" s="1">
        <v>0.1917015229</v>
      </c>
      <c r="BA66" s="1">
        <v>2.0229741382999999</v>
      </c>
      <c r="BB66" s="1">
        <v>5.5503421800000001E-2</v>
      </c>
      <c r="BC66" s="1">
        <v>6.93792773E-2</v>
      </c>
      <c r="BD66" s="1">
        <v>0.10486924609999999</v>
      </c>
      <c r="BE66" s="1">
        <v>1.5066729100000001E-2</v>
      </c>
      <c r="BF66">
        <v>3.5719206554</v>
      </c>
      <c r="BG66">
        <v>-172.4032783875</v>
      </c>
      <c r="BH66">
        <v>11.077635921100001</v>
      </c>
      <c r="BI66">
        <v>1.3836679234</v>
      </c>
      <c r="BJ66">
        <v>2.546502255</v>
      </c>
    </row>
    <row r="67" spans="1:62" x14ac:dyDescent="0.25">
      <c r="A67" t="s">
        <v>145</v>
      </c>
      <c r="B67" t="s">
        <v>63</v>
      </c>
      <c r="C67" t="s">
        <v>64</v>
      </c>
      <c r="D67" t="s">
        <v>65</v>
      </c>
      <c r="L67">
        <v>0.30304172899999998</v>
      </c>
      <c r="P67">
        <v>8.0358622569999998</v>
      </c>
      <c r="AE67">
        <v>1401.02867452238</v>
      </c>
      <c r="AI67">
        <v>704.74127359386205</v>
      </c>
      <c r="AQ67">
        <v>1</v>
      </c>
      <c r="AR67">
        <v>46</v>
      </c>
      <c r="AS67">
        <v>8.4184900500000007E-2</v>
      </c>
      <c r="AT67" s="1">
        <v>8.5816180199999995E-2</v>
      </c>
      <c r="AU67" s="1">
        <v>8.1336459997000006</v>
      </c>
      <c r="AV67" s="1">
        <v>0.32950618320000002</v>
      </c>
      <c r="AW67" s="1">
        <v>0.1234645038</v>
      </c>
      <c r="AX67" s="1">
        <v>6.5592672277000004</v>
      </c>
      <c r="AY67" s="1">
        <v>2.42409042E-2</v>
      </c>
      <c r="AZ67" s="1">
        <v>0.1910983664</v>
      </c>
      <c r="BA67" s="1">
        <v>2.0143492898000002</v>
      </c>
      <c r="BB67" s="1">
        <v>5.0199266800000003E-2</v>
      </c>
      <c r="BC67" s="1">
        <v>6.2749083600000005E-2</v>
      </c>
      <c r="BD67" s="1">
        <v>0.1723144002</v>
      </c>
      <c r="BE67" s="1">
        <v>2.47566803E-2</v>
      </c>
      <c r="BF67">
        <v>4.3439567340999998</v>
      </c>
      <c r="BG67">
        <v>-134.67476500410001</v>
      </c>
      <c r="BH67">
        <v>7.4074511607</v>
      </c>
      <c r="BI67">
        <v>4.1408510364</v>
      </c>
      <c r="BJ67">
        <v>1.3161719932</v>
      </c>
    </row>
    <row r="68" spans="1:62" x14ac:dyDescent="0.25">
      <c r="A68" t="s">
        <v>146</v>
      </c>
      <c r="B68" t="s">
        <v>102</v>
      </c>
      <c r="C68" t="s">
        <v>103</v>
      </c>
      <c r="D68" t="s">
        <v>104</v>
      </c>
      <c r="H68">
        <v>0.3223850378</v>
      </c>
      <c r="J68">
        <v>0.56112437640000001</v>
      </c>
      <c r="P68">
        <v>7.8426778582000001</v>
      </c>
      <c r="AA68">
        <v>7104.4615277555404</v>
      </c>
      <c r="AC68">
        <v>129.239186846743</v>
      </c>
      <c r="AI68">
        <v>7135.24520878149</v>
      </c>
      <c r="AQ68">
        <v>1</v>
      </c>
      <c r="AR68">
        <v>19</v>
      </c>
      <c r="AS68">
        <v>8.4262608700000005E-2</v>
      </c>
      <c r="AT68" s="1">
        <v>8.5895394299999997E-2</v>
      </c>
      <c r="AU68" s="1">
        <v>8.1404751357999992</v>
      </c>
      <c r="AV68" s="1">
        <v>0.18244595290000001</v>
      </c>
      <c r="AW68" s="1">
        <v>6.8361688500000004E-2</v>
      </c>
      <c r="AX68" s="1">
        <v>3.8596917166</v>
      </c>
      <c r="AY68" s="1">
        <v>2.4233520599999999E-2</v>
      </c>
      <c r="AZ68" s="1">
        <v>0.1910401588</v>
      </c>
      <c r="BA68" s="1">
        <v>2.0109352520999999</v>
      </c>
      <c r="BB68" s="1">
        <v>4.2122041899999997E-2</v>
      </c>
      <c r="BC68" s="1">
        <v>5.2652552300000002E-2</v>
      </c>
      <c r="BD68" s="1">
        <v>0.1033782411</v>
      </c>
      <c r="BE68" s="1">
        <v>1.48525141E-2</v>
      </c>
      <c r="BF68">
        <v>3.6354362026999998</v>
      </c>
      <c r="BG68">
        <v>-173.54886189210001</v>
      </c>
      <c r="BH68">
        <v>11.0773254231</v>
      </c>
      <c r="BI68">
        <v>1.2054550691999999</v>
      </c>
      <c r="BJ68">
        <v>2.7392021355999998</v>
      </c>
    </row>
    <row r="69" spans="1:62" x14ac:dyDescent="0.25">
      <c r="A69" t="s">
        <v>147</v>
      </c>
      <c r="B69" t="s">
        <v>67</v>
      </c>
      <c r="C69" t="s">
        <v>68</v>
      </c>
      <c r="D69" t="s">
        <v>69</v>
      </c>
      <c r="H69">
        <v>0.30512912450000002</v>
      </c>
      <c r="J69">
        <v>0.54842870320000003</v>
      </c>
      <c r="L69">
        <v>0.2966618962</v>
      </c>
      <c r="P69">
        <v>6.4726593674000004</v>
      </c>
      <c r="AA69">
        <v>4163.8266049611602</v>
      </c>
      <c r="AC69">
        <v>133.264584864395</v>
      </c>
      <c r="AE69">
        <v>1183.69366924632</v>
      </c>
      <c r="AI69">
        <v>322.013556329295</v>
      </c>
      <c r="AQ69">
        <v>1</v>
      </c>
      <c r="AR69">
        <v>32</v>
      </c>
      <c r="AS69">
        <v>8.4392376899999996E-2</v>
      </c>
      <c r="AT69" s="1">
        <v>8.6027676999999997E-2</v>
      </c>
      <c r="AU69" s="1">
        <v>8.0917387742999995</v>
      </c>
      <c r="AV69" s="1">
        <v>0.18197994640000001</v>
      </c>
      <c r="AW69" s="1">
        <v>6.8187077900000004E-2</v>
      </c>
      <c r="AX69" s="1">
        <v>3.7494477220000002</v>
      </c>
      <c r="AY69" s="1">
        <v>2.4251874E-2</v>
      </c>
      <c r="AZ69" s="1">
        <v>0.19118484429999999</v>
      </c>
      <c r="BA69" s="1">
        <v>2.0194386513999998</v>
      </c>
      <c r="BB69" s="1">
        <v>4.77802347E-2</v>
      </c>
      <c r="BC69" s="1">
        <v>5.9725293399999997E-2</v>
      </c>
      <c r="BD69" s="1">
        <v>0.1038145924</v>
      </c>
      <c r="BE69" s="1">
        <v>1.4915205399999999E-2</v>
      </c>
      <c r="BF69">
        <v>3.6254597015000001</v>
      </c>
      <c r="BG69">
        <v>-171.2118989052</v>
      </c>
      <c r="BH69">
        <v>14.766295286</v>
      </c>
      <c r="BI69">
        <v>1.0451404982000001</v>
      </c>
      <c r="BJ69">
        <v>2.6073371535000001</v>
      </c>
    </row>
    <row r="70" spans="1:62" x14ac:dyDescent="0.25">
      <c r="A70" t="s">
        <v>148</v>
      </c>
      <c r="B70" t="s">
        <v>102</v>
      </c>
      <c r="C70" t="s">
        <v>103</v>
      </c>
      <c r="D70" t="s">
        <v>104</v>
      </c>
      <c r="H70">
        <v>0.32039924349999999</v>
      </c>
      <c r="J70">
        <v>0.78029376520000004</v>
      </c>
      <c r="P70">
        <v>7.7123854623000003</v>
      </c>
      <c r="AA70">
        <v>7122.7212918424402</v>
      </c>
      <c r="AC70">
        <v>93.363322747096603</v>
      </c>
      <c r="AI70">
        <v>5818.1085824362099</v>
      </c>
      <c r="AQ70">
        <v>1</v>
      </c>
      <c r="AR70">
        <v>31</v>
      </c>
      <c r="AS70">
        <v>8.4479462000000005E-2</v>
      </c>
      <c r="AT70" s="1">
        <v>8.6116449600000006E-2</v>
      </c>
      <c r="AU70" s="1">
        <v>8.1849568038000005</v>
      </c>
      <c r="AV70" s="1">
        <v>0.42152442140000002</v>
      </c>
      <c r="AW70" s="1">
        <v>0.1579433291</v>
      </c>
      <c r="AX70" s="1">
        <v>8.8787457393999993</v>
      </c>
      <c r="AY70" s="1">
        <v>2.4201694999999999E-2</v>
      </c>
      <c r="AZ70" s="1">
        <v>0.19078926860000001</v>
      </c>
      <c r="BA70" s="1">
        <v>2.0095226904999999</v>
      </c>
      <c r="BB70" s="1">
        <v>4.2557996600000002E-2</v>
      </c>
      <c r="BC70" s="1">
        <v>5.31974957E-2</v>
      </c>
      <c r="BD70" s="1">
        <v>0.2163426232</v>
      </c>
      <c r="BE70" s="1">
        <v>3.10822841E-2</v>
      </c>
      <c r="BF70">
        <v>4.9032259364000002</v>
      </c>
      <c r="BG70">
        <v>-114.47135276349999</v>
      </c>
      <c r="BH70">
        <v>11.113442493000001</v>
      </c>
      <c r="BI70">
        <v>4.5883083766999997</v>
      </c>
      <c r="BJ70">
        <v>0.95623492430000001</v>
      </c>
    </row>
    <row r="71" spans="1:62" x14ac:dyDescent="0.25">
      <c r="A71" t="s">
        <v>149</v>
      </c>
      <c r="B71" t="s">
        <v>102</v>
      </c>
      <c r="C71" t="s">
        <v>103</v>
      </c>
      <c r="D71" t="s">
        <v>104</v>
      </c>
      <c r="H71">
        <v>0.31979311170000002</v>
      </c>
      <c r="J71">
        <v>0.53718255479999999</v>
      </c>
      <c r="P71">
        <v>7.6953983362000002</v>
      </c>
      <c r="AA71">
        <v>7105.8803263997297</v>
      </c>
      <c r="AC71">
        <v>135.61800351696499</v>
      </c>
      <c r="AI71">
        <v>5648.5158473961601</v>
      </c>
      <c r="AQ71">
        <v>1</v>
      </c>
      <c r="AR71">
        <v>52</v>
      </c>
      <c r="AS71">
        <v>8.4499249999999998E-2</v>
      </c>
      <c r="AT71" s="1">
        <v>8.6136620999999997E-2</v>
      </c>
      <c r="AU71" s="1">
        <v>8.1900904897999993</v>
      </c>
      <c r="AV71" s="1">
        <v>0.1870518025</v>
      </c>
      <c r="AW71" s="1">
        <v>7.0087479899999999E-2</v>
      </c>
      <c r="AX71" s="1">
        <v>3.6999831425999998</v>
      </c>
      <c r="AY71" s="1">
        <v>2.4197984700000001E-2</v>
      </c>
      <c r="AZ71" s="1">
        <v>0.190760019</v>
      </c>
      <c r="BA71" s="1">
        <v>2.0094361120999999</v>
      </c>
      <c r="BB71" s="1">
        <v>4.2669034199999997E-2</v>
      </c>
      <c r="BC71" s="1">
        <v>5.3336292799999997E-2</v>
      </c>
      <c r="BD71" s="1">
        <v>0.1055162179</v>
      </c>
      <c r="BE71" s="1">
        <v>1.5159680599999999E-2</v>
      </c>
      <c r="BF71">
        <v>3.6104059598</v>
      </c>
      <c r="BG71">
        <v>-171.9112490604</v>
      </c>
      <c r="BH71">
        <v>11.077772034600001</v>
      </c>
      <c r="BI71">
        <v>1.4436980418000001</v>
      </c>
      <c r="BJ71">
        <v>2.5024057476000001</v>
      </c>
    </row>
    <row r="72" spans="1:62" x14ac:dyDescent="0.25">
      <c r="A72" t="s">
        <v>150</v>
      </c>
      <c r="B72" t="s">
        <v>85</v>
      </c>
      <c r="C72" t="s">
        <v>86</v>
      </c>
      <c r="D72" t="s">
        <v>87</v>
      </c>
      <c r="J72">
        <v>0.54069771180000004</v>
      </c>
      <c r="L72">
        <v>0.26460332930000002</v>
      </c>
      <c r="P72">
        <v>8.4919180550999993</v>
      </c>
      <c r="AC72">
        <v>120.328302473706</v>
      </c>
      <c r="AE72">
        <v>1033.58709784749</v>
      </c>
      <c r="AI72">
        <v>817.51602679575103</v>
      </c>
      <c r="AQ72">
        <v>1</v>
      </c>
      <c r="AR72">
        <v>18</v>
      </c>
      <c r="AS72">
        <v>8.4512996600000001E-2</v>
      </c>
      <c r="AT72" s="1">
        <v>8.6150634000000004E-2</v>
      </c>
      <c r="AU72" s="1">
        <v>7.0121781405999997</v>
      </c>
      <c r="AV72" s="1">
        <v>0.19094885</v>
      </c>
      <c r="AW72" s="1">
        <v>7.1547686299999996E-2</v>
      </c>
      <c r="AX72" s="1">
        <v>3.9638888549</v>
      </c>
      <c r="AY72" s="1">
        <v>2.5167215600000001E-2</v>
      </c>
      <c r="AZ72" s="1">
        <v>0.19840075839999999</v>
      </c>
      <c r="BA72" s="1">
        <v>2.1608799722000001</v>
      </c>
      <c r="BB72" s="1">
        <v>4.5102467799999997E-2</v>
      </c>
      <c r="BC72" s="1">
        <v>5.6378084699999997E-2</v>
      </c>
      <c r="BD72" s="1">
        <v>0.1075540925</v>
      </c>
      <c r="BE72" s="1">
        <v>1.5452465199999999E-2</v>
      </c>
      <c r="BF72">
        <v>3.4241277220000002</v>
      </c>
      <c r="BG72">
        <v>-170.380909758</v>
      </c>
      <c r="BH72">
        <v>11.078206245200001</v>
      </c>
      <c r="BI72">
        <v>1.2351506198</v>
      </c>
      <c r="BJ72">
        <v>2.7781337663999999</v>
      </c>
    </row>
    <row r="73" spans="1:62" x14ac:dyDescent="0.25">
      <c r="A73" t="s">
        <v>151</v>
      </c>
      <c r="B73" t="s">
        <v>67</v>
      </c>
      <c r="C73" t="s">
        <v>68</v>
      </c>
      <c r="D73" t="s">
        <v>69</v>
      </c>
      <c r="H73">
        <v>0.35958597469999998</v>
      </c>
      <c r="J73">
        <v>0.61777800490000001</v>
      </c>
      <c r="L73">
        <v>0.3045139664</v>
      </c>
      <c r="P73">
        <v>7.9751794583000004</v>
      </c>
      <c r="AA73">
        <v>3832.6204392735499</v>
      </c>
      <c r="AC73">
        <v>117.88242737569399</v>
      </c>
      <c r="AE73">
        <v>733.04832320236403</v>
      </c>
      <c r="AI73">
        <v>333.51322796241698</v>
      </c>
      <c r="AQ73">
        <v>1</v>
      </c>
      <c r="AR73">
        <v>38</v>
      </c>
      <c r="AS73">
        <v>8.4517861200000002E-2</v>
      </c>
      <c r="AT73" s="1">
        <v>8.61555928E-2</v>
      </c>
      <c r="AU73" s="1">
        <v>8.2045709227000003</v>
      </c>
      <c r="AV73" s="1">
        <v>0.22557970720000001</v>
      </c>
      <c r="AW73" s="1">
        <v>8.4523714700000002E-2</v>
      </c>
      <c r="AX73" s="1">
        <v>4.4699364678000002</v>
      </c>
      <c r="AY73" s="1">
        <v>2.4189895699999998E-2</v>
      </c>
      <c r="AZ73" s="1">
        <v>0.1906962505</v>
      </c>
      <c r="BA73" s="1">
        <v>2.0080192587000001</v>
      </c>
      <c r="BB73" s="1">
        <v>5.4246124200000002E-2</v>
      </c>
      <c r="BC73" s="1">
        <v>6.7807655300000005E-2</v>
      </c>
      <c r="BD73" s="1">
        <v>0.1240536842</v>
      </c>
      <c r="BE73" s="1">
        <v>1.7822987500000002E-2</v>
      </c>
      <c r="BF73">
        <v>3.8083008822000002</v>
      </c>
      <c r="BG73">
        <v>-156.96326962250001</v>
      </c>
      <c r="BH73">
        <v>14.770907133</v>
      </c>
      <c r="BI73">
        <v>2.5728017254000002</v>
      </c>
      <c r="BJ73">
        <v>2.1333278893999998</v>
      </c>
    </row>
    <row r="74" spans="1:62" x14ac:dyDescent="0.25">
      <c r="A74" t="s">
        <v>152</v>
      </c>
      <c r="B74" t="s">
        <v>102</v>
      </c>
      <c r="C74" t="s">
        <v>103</v>
      </c>
      <c r="D74" t="s">
        <v>104</v>
      </c>
      <c r="H74">
        <v>0.23941249940000001</v>
      </c>
      <c r="J74">
        <v>0.55636685789999996</v>
      </c>
      <c r="P74">
        <v>6.2559002590999997</v>
      </c>
      <c r="AA74">
        <v>8160.8623308544002</v>
      </c>
      <c r="AC74">
        <v>131.75346383909701</v>
      </c>
      <c r="AI74">
        <v>6504.4845201520102</v>
      </c>
      <c r="AQ74">
        <v>1</v>
      </c>
      <c r="AR74">
        <v>15</v>
      </c>
      <c r="AS74">
        <v>8.4537098300000002E-2</v>
      </c>
      <c r="AT74" s="1">
        <v>8.6175202800000003E-2</v>
      </c>
      <c r="AU74" s="1">
        <v>8.1081876111</v>
      </c>
      <c r="AV74" s="1">
        <v>0.1809667928</v>
      </c>
      <c r="AW74" s="1">
        <v>6.7807453700000006E-2</v>
      </c>
      <c r="AX74" s="1">
        <v>3.7966267866000001</v>
      </c>
      <c r="AY74" s="1">
        <v>2.4236898E-2</v>
      </c>
      <c r="AZ74" s="1">
        <v>0.19106678399999999</v>
      </c>
      <c r="BA74" s="1">
        <v>2.0210548939000001</v>
      </c>
      <c r="BB74" s="1">
        <v>0.11769766769999999</v>
      </c>
      <c r="BC74" s="1">
        <v>0.14712208460000001</v>
      </c>
      <c r="BD74" s="1">
        <v>0.1165500636</v>
      </c>
      <c r="BE74" s="1">
        <v>1.6744930500000001E-2</v>
      </c>
      <c r="BF74">
        <v>3.8736920886999999</v>
      </c>
      <c r="BG74">
        <v>-163.9547494263</v>
      </c>
      <c r="BH74">
        <v>11.080222279699999</v>
      </c>
      <c r="BI74">
        <v>0.47425932589999997</v>
      </c>
      <c r="BJ74">
        <v>2.1030913496000001</v>
      </c>
    </row>
    <row r="75" spans="1:62" x14ac:dyDescent="0.25">
      <c r="A75" t="s">
        <v>153</v>
      </c>
      <c r="B75" t="s">
        <v>102</v>
      </c>
      <c r="C75" t="s">
        <v>103</v>
      </c>
      <c r="D75" t="s">
        <v>104</v>
      </c>
      <c r="H75">
        <v>0.33697276180000002</v>
      </c>
      <c r="J75">
        <v>0.5337719031</v>
      </c>
      <c r="P75">
        <v>7.6671108331999998</v>
      </c>
      <c r="AA75">
        <v>6980.0242658485004</v>
      </c>
      <c r="AC75">
        <v>136.63770781869499</v>
      </c>
      <c r="AI75">
        <v>5339.6927248491502</v>
      </c>
      <c r="AQ75">
        <v>1</v>
      </c>
      <c r="AR75">
        <v>45</v>
      </c>
      <c r="AS75">
        <v>8.4555780400000002E-2</v>
      </c>
      <c r="AT75" s="1">
        <v>8.6194246899999993E-2</v>
      </c>
      <c r="AU75" s="1">
        <v>8.1995517211000006</v>
      </c>
      <c r="AV75" s="1">
        <v>0.18938978149999999</v>
      </c>
      <c r="AW75" s="1">
        <v>7.0963510199999996E-2</v>
      </c>
      <c r="AX75" s="1">
        <v>3.6751983642999999</v>
      </c>
      <c r="AY75" s="1">
        <v>2.41909571E-2</v>
      </c>
      <c r="AZ75" s="1">
        <v>0.19070461829999999</v>
      </c>
      <c r="BA75" s="1">
        <v>2.0099009539999999</v>
      </c>
      <c r="BB75" s="1">
        <v>4.3928064900000001E-2</v>
      </c>
      <c r="BC75" s="1">
        <v>5.4910081100000001E-2</v>
      </c>
      <c r="BD75" s="1">
        <v>0.1066923692</v>
      </c>
      <c r="BE75" s="1">
        <v>1.53286601E-2</v>
      </c>
      <c r="BF75">
        <v>3.6009058250999999</v>
      </c>
      <c r="BG75">
        <v>-171.02445113420001</v>
      </c>
      <c r="BH75">
        <v>11.078021624</v>
      </c>
      <c r="BI75">
        <v>1.7196335106</v>
      </c>
      <c r="BJ75">
        <v>2.4296864724999998</v>
      </c>
    </row>
    <row r="76" spans="1:62" x14ac:dyDescent="0.25">
      <c r="A76" t="s">
        <v>154</v>
      </c>
      <c r="B76" t="s">
        <v>85</v>
      </c>
      <c r="C76" t="s">
        <v>86</v>
      </c>
      <c r="D76" t="s">
        <v>87</v>
      </c>
      <c r="J76">
        <v>0.52166122849999996</v>
      </c>
      <c r="L76">
        <v>0.29674089549999999</v>
      </c>
      <c r="P76">
        <v>7.1764347717000003</v>
      </c>
      <c r="AC76">
        <v>140.290946902228</v>
      </c>
      <c r="AE76">
        <v>12372.388832896801</v>
      </c>
      <c r="AI76">
        <v>646.24268889098596</v>
      </c>
      <c r="AQ76">
        <v>1</v>
      </c>
      <c r="AR76">
        <v>32</v>
      </c>
      <c r="AS76">
        <v>8.4646956900000001E-2</v>
      </c>
      <c r="AT76" s="1">
        <v>8.6287190099999994E-2</v>
      </c>
      <c r="AU76" s="1">
        <v>8.1941406914999995</v>
      </c>
      <c r="AV76" s="1">
        <v>0.2010506554</v>
      </c>
      <c r="AW76" s="1">
        <v>7.5332787900000003E-2</v>
      </c>
      <c r="AX76" s="1">
        <v>3.6124121385999999</v>
      </c>
      <c r="AY76" s="1">
        <v>2.4190244600000001E-2</v>
      </c>
      <c r="AZ76" s="1">
        <v>0.19069900149999999</v>
      </c>
      <c r="BA76" s="1">
        <v>2.0132404511000002</v>
      </c>
      <c r="BB76" s="1">
        <v>5.1155860400000003E-2</v>
      </c>
      <c r="BC76" s="1">
        <v>6.3944825400000002E-2</v>
      </c>
      <c r="BD76" s="1">
        <v>0.1126815905</v>
      </c>
      <c r="BE76" s="1">
        <v>1.6189140899999999E-2</v>
      </c>
      <c r="BF76">
        <v>3.6263998990999999</v>
      </c>
      <c r="BG76">
        <v>-166.6551376987</v>
      </c>
      <c r="BH76">
        <v>11.079335503199999</v>
      </c>
      <c r="BI76">
        <v>1.9122189678999999</v>
      </c>
      <c r="BJ76">
        <v>2.1254640382000001</v>
      </c>
    </row>
    <row r="77" spans="1:62" x14ac:dyDescent="0.25">
      <c r="A77" t="s">
        <v>155</v>
      </c>
      <c r="B77" t="s">
        <v>67</v>
      </c>
      <c r="C77" t="s">
        <v>68</v>
      </c>
      <c r="D77" t="s">
        <v>69</v>
      </c>
      <c r="H77">
        <v>0.2976433979</v>
      </c>
      <c r="J77">
        <v>0.54354086280000002</v>
      </c>
      <c r="L77">
        <v>0.29794810830000001</v>
      </c>
      <c r="P77">
        <v>7.3627482688999999</v>
      </c>
      <c r="AA77">
        <v>4036.6690346857499</v>
      </c>
      <c r="AC77">
        <v>134.56757761535599</v>
      </c>
      <c r="AE77">
        <v>2901.88294368585</v>
      </c>
      <c r="AI77">
        <v>367.98551708711699</v>
      </c>
      <c r="AQ77">
        <v>1</v>
      </c>
      <c r="AR77">
        <v>18</v>
      </c>
      <c r="AS77">
        <v>8.4661089499999995E-2</v>
      </c>
      <c r="AT77" s="1">
        <v>8.6301596600000002E-2</v>
      </c>
      <c r="AU77" s="1">
        <v>8.2092140806000007</v>
      </c>
      <c r="AV77" s="1">
        <v>0.18397191879999999</v>
      </c>
      <c r="AW77" s="1">
        <v>6.8933461099999996E-2</v>
      </c>
      <c r="AX77" s="1">
        <v>3.7370813183</v>
      </c>
      <c r="AY77" s="1">
        <v>2.4182071400000001E-2</v>
      </c>
      <c r="AZ77" s="1">
        <v>0.19063456989999999</v>
      </c>
      <c r="BA77" s="1">
        <v>2.0116648598000002</v>
      </c>
      <c r="BB77" s="1">
        <v>5.2750278800000001E-2</v>
      </c>
      <c r="BC77" s="1">
        <v>6.5937848499999993E-2</v>
      </c>
      <c r="BD77" s="1">
        <v>0.1053334366</v>
      </c>
      <c r="BE77" s="1">
        <v>1.5133420099999999E-2</v>
      </c>
      <c r="BF77">
        <v>3.6655800598999999</v>
      </c>
      <c r="BG77">
        <v>-170.0499498792</v>
      </c>
      <c r="BH77">
        <v>14.766612949300001</v>
      </c>
      <c r="BI77">
        <v>1.0379307611999999</v>
      </c>
      <c r="BJ77">
        <v>2.5268817039</v>
      </c>
    </row>
    <row r="78" spans="1:62" x14ac:dyDescent="0.25">
      <c r="A78" t="s">
        <v>156</v>
      </c>
      <c r="B78" t="s">
        <v>102</v>
      </c>
      <c r="C78" t="s">
        <v>103</v>
      </c>
      <c r="D78" t="s">
        <v>104</v>
      </c>
      <c r="H78">
        <v>0.317989142</v>
      </c>
      <c r="J78">
        <v>0.5644723948</v>
      </c>
      <c r="P78">
        <v>7.5741514384000004</v>
      </c>
      <c r="AA78">
        <v>7091.5219508700602</v>
      </c>
      <c r="AC78">
        <v>129.489150502017</v>
      </c>
      <c r="AI78">
        <v>4442.7163144959204</v>
      </c>
      <c r="AQ78">
        <v>1</v>
      </c>
      <c r="AR78">
        <v>48</v>
      </c>
      <c r="AS78">
        <v>8.4676943399999996E-2</v>
      </c>
      <c r="AT78" s="1">
        <v>8.6317757600000003E-2</v>
      </c>
      <c r="AU78" s="1">
        <v>8.2233306416000005</v>
      </c>
      <c r="AV78" s="1">
        <v>0.18276794760000001</v>
      </c>
      <c r="AW78" s="1">
        <v>6.8482338500000003E-2</v>
      </c>
      <c r="AX78" s="1">
        <v>3.8757199321</v>
      </c>
      <c r="AY78" s="1">
        <v>2.4174408299999998E-2</v>
      </c>
      <c r="AZ78" s="1">
        <v>0.1905741588</v>
      </c>
      <c r="BA78" s="1">
        <v>2.0102614932999998</v>
      </c>
      <c r="BB78" s="1">
        <v>4.3202471100000001E-2</v>
      </c>
      <c r="BC78" s="1">
        <v>5.4003088900000003E-2</v>
      </c>
      <c r="BD78" s="1">
        <v>0.10371253900000001</v>
      </c>
      <c r="BE78" s="1">
        <v>1.49005432E-2</v>
      </c>
      <c r="BF78">
        <v>3.6648495720000001</v>
      </c>
      <c r="BG78">
        <v>-173.29058043430001</v>
      </c>
      <c r="BH78">
        <v>11.077394653100001</v>
      </c>
      <c r="BI78">
        <v>1.1831189796999999</v>
      </c>
      <c r="BJ78">
        <v>2.7156066477</v>
      </c>
    </row>
    <row r="79" spans="1:62" x14ac:dyDescent="0.25">
      <c r="A79" t="s">
        <v>157</v>
      </c>
      <c r="B79" t="s">
        <v>67</v>
      </c>
      <c r="C79" t="s">
        <v>68</v>
      </c>
      <c r="D79" t="s">
        <v>69</v>
      </c>
      <c r="H79">
        <v>0.31558282630000001</v>
      </c>
      <c r="J79">
        <v>0.79995634459999998</v>
      </c>
      <c r="L79">
        <v>0.25247354449999998</v>
      </c>
      <c r="P79">
        <v>5.6686406722999996</v>
      </c>
      <c r="AA79">
        <v>2895.4568257914202</v>
      </c>
      <c r="AC79">
        <v>81.076053365264798</v>
      </c>
      <c r="AE79">
        <v>406.75094327602</v>
      </c>
      <c r="AI79">
        <v>221.042846892695</v>
      </c>
      <c r="AQ79">
        <v>1</v>
      </c>
      <c r="AR79">
        <v>19</v>
      </c>
      <c r="AS79">
        <v>8.4740862099999995E-2</v>
      </c>
      <c r="AT79" s="1">
        <v>8.6382914899999996E-2</v>
      </c>
      <c r="AU79" s="1">
        <v>6.6902036975000003</v>
      </c>
      <c r="AV79" s="1">
        <v>0.4713387027</v>
      </c>
      <c r="AW79" s="1">
        <v>0.1766085191</v>
      </c>
      <c r="AX79" s="1">
        <v>10.079545622099999</v>
      </c>
      <c r="AY79" s="1">
        <v>2.5444897099999999E-2</v>
      </c>
      <c r="AZ79" s="1">
        <v>0.2005898059</v>
      </c>
      <c r="BA79" s="1">
        <v>2.1785226114</v>
      </c>
      <c r="BB79" s="1">
        <v>4.2142612900000001E-2</v>
      </c>
      <c r="BC79" s="1">
        <v>5.2678266100000003E-2</v>
      </c>
      <c r="BD79" s="1">
        <v>0.240709695</v>
      </c>
      <c r="BE79" s="1">
        <v>3.45831396E-2</v>
      </c>
      <c r="BF79">
        <v>4.8742377478999996</v>
      </c>
      <c r="BG79">
        <v>-103.93309254579999</v>
      </c>
      <c r="BH79">
        <v>14.8134589737</v>
      </c>
      <c r="BI79">
        <v>4.7413971475999999</v>
      </c>
      <c r="BJ79">
        <v>0.86465444440000006</v>
      </c>
    </row>
    <row r="80" spans="1:62" x14ac:dyDescent="0.25">
      <c r="A80" t="s">
        <v>158</v>
      </c>
      <c r="B80" t="s">
        <v>102</v>
      </c>
      <c r="C80" t="s">
        <v>103</v>
      </c>
      <c r="D80" t="s">
        <v>104</v>
      </c>
      <c r="H80">
        <v>0.33133462549999998</v>
      </c>
      <c r="J80">
        <v>0.7928161038</v>
      </c>
      <c r="P80">
        <v>6.4488983788000001</v>
      </c>
      <c r="AA80">
        <v>7363.3330676525502</v>
      </c>
      <c r="AC80">
        <v>92.724694774278106</v>
      </c>
      <c r="AI80">
        <v>5318.9660241118399</v>
      </c>
      <c r="AQ80">
        <v>1</v>
      </c>
      <c r="AR80">
        <v>24</v>
      </c>
      <c r="AS80">
        <v>8.4758693999999996E-2</v>
      </c>
      <c r="AT80" s="1">
        <v>8.6401092400000004E-2</v>
      </c>
      <c r="AU80" s="1">
        <v>8.1691351826999998</v>
      </c>
      <c r="AV80" s="1">
        <v>0.43228189420000002</v>
      </c>
      <c r="AW80" s="1">
        <v>0.16197410640000001</v>
      </c>
      <c r="AX80" s="1">
        <v>9.1411426366999997</v>
      </c>
      <c r="AY80" s="1">
        <v>2.4199214300000001E-2</v>
      </c>
      <c r="AZ80" s="1">
        <v>0.19076971249999999</v>
      </c>
      <c r="BA80" s="1">
        <v>2.0193173875000001</v>
      </c>
      <c r="BB80" s="1">
        <v>4.27639202E-2</v>
      </c>
      <c r="BC80" s="1">
        <v>5.3454900200000002E-2</v>
      </c>
      <c r="BD80" s="1">
        <v>0.221622442</v>
      </c>
      <c r="BE80" s="1">
        <v>3.1840844E-2</v>
      </c>
      <c r="BF80">
        <v>4.9610020030999999</v>
      </c>
      <c r="BG80">
        <v>-112.54240454409999</v>
      </c>
      <c r="BH80">
        <v>11.1157548691</v>
      </c>
      <c r="BI80">
        <v>4.6601812201000001</v>
      </c>
      <c r="BJ80">
        <v>0.91912076880000004</v>
      </c>
    </row>
    <row r="81" spans="1:62" x14ac:dyDescent="0.25">
      <c r="A81" t="s">
        <v>159</v>
      </c>
      <c r="B81" t="s">
        <v>160</v>
      </c>
      <c r="C81" t="s">
        <v>160</v>
      </c>
      <c r="D81" t="s">
        <v>160</v>
      </c>
      <c r="E81">
        <v>0.05</v>
      </c>
      <c r="F81">
        <v>0</v>
      </c>
      <c r="G81">
        <v>0</v>
      </c>
      <c r="H81">
        <v>0.3</v>
      </c>
      <c r="I81">
        <v>1.3520000000000001</v>
      </c>
      <c r="J81">
        <v>0.7</v>
      </c>
      <c r="K81">
        <v>1.1000000000000001</v>
      </c>
      <c r="L81">
        <v>0.3</v>
      </c>
      <c r="M81">
        <v>20</v>
      </c>
      <c r="N81">
        <v>8.0000000000000002E-3</v>
      </c>
      <c r="O81">
        <v>0.5</v>
      </c>
      <c r="P81">
        <v>7.5</v>
      </c>
      <c r="Q81">
        <v>5.5</v>
      </c>
      <c r="R81">
        <v>0.05</v>
      </c>
      <c r="S81">
        <v>1</v>
      </c>
      <c r="T81">
        <v>0.5</v>
      </c>
      <c r="U81">
        <v>0</v>
      </c>
      <c r="V81">
        <v>0</v>
      </c>
      <c r="W81">
        <v>0.11</v>
      </c>
      <c r="AQ81">
        <v>1</v>
      </c>
      <c r="AR81">
        <v>30</v>
      </c>
      <c r="AS81">
        <v>8.4763252999999997E-2</v>
      </c>
      <c r="AT81" s="1">
        <v>8.6405739699999998E-2</v>
      </c>
      <c r="AU81" s="1">
        <v>8.2392655886000004</v>
      </c>
      <c r="AV81" s="1">
        <v>0.32642467050000001</v>
      </c>
      <c r="AW81" s="1">
        <v>0.12230987459999999</v>
      </c>
      <c r="AX81" s="1">
        <v>6.4761192881999996</v>
      </c>
      <c r="AY81" s="1">
        <v>2.4163230500000001E-2</v>
      </c>
      <c r="AZ81" s="1">
        <v>0.19048604080000001</v>
      </c>
      <c r="BA81" s="1">
        <v>2.0105796988</v>
      </c>
      <c r="BB81" s="1">
        <v>5.1294844200000002E-2</v>
      </c>
      <c r="BC81" s="1">
        <v>6.4118555300000005E-2</v>
      </c>
      <c r="BD81" s="1">
        <v>0.17099188379999999</v>
      </c>
      <c r="BE81" s="1">
        <v>2.45666722E-2</v>
      </c>
      <c r="BF81">
        <v>4.3534234121999997</v>
      </c>
      <c r="BG81" t="s">
        <v>160</v>
      </c>
      <c r="BH81" t="s">
        <v>160</v>
      </c>
      <c r="BI81">
        <v>4.1099146151000001</v>
      </c>
      <c r="BJ81">
        <v>1.3214649688</v>
      </c>
    </row>
    <row r="82" spans="1:62" x14ac:dyDescent="0.25">
      <c r="A82" t="s">
        <v>161</v>
      </c>
      <c r="B82" t="s">
        <v>102</v>
      </c>
      <c r="C82" t="s">
        <v>103</v>
      </c>
      <c r="D82" t="s">
        <v>104</v>
      </c>
      <c r="H82">
        <v>0.31207749730000001</v>
      </c>
      <c r="J82">
        <v>0.60812841849999999</v>
      </c>
      <c r="P82">
        <v>7.4851683511999996</v>
      </c>
      <c r="AA82">
        <v>7077.4976975130903</v>
      </c>
      <c r="AC82">
        <v>120.442193220506</v>
      </c>
      <c r="AI82">
        <v>3579.0346358257302</v>
      </c>
      <c r="AQ82">
        <v>1</v>
      </c>
      <c r="AR82">
        <v>19</v>
      </c>
      <c r="AS82">
        <v>8.4788313599999998E-2</v>
      </c>
      <c r="AT82" s="1">
        <v>8.6431285900000002E-2</v>
      </c>
      <c r="AU82" s="1">
        <v>8.2428484899000001</v>
      </c>
      <c r="AV82" s="1">
        <v>0.2138339547</v>
      </c>
      <c r="AW82" s="1">
        <v>8.0122633400000004E-2</v>
      </c>
      <c r="AX82" s="1">
        <v>4.2758524247</v>
      </c>
      <c r="AY82" s="1">
        <v>2.4160475899999999E-2</v>
      </c>
      <c r="AZ82" s="1">
        <v>0.1904643254</v>
      </c>
      <c r="BA82" s="1">
        <v>2.0107985680999998</v>
      </c>
      <c r="BB82" s="1">
        <v>4.5067772200000002E-2</v>
      </c>
      <c r="BC82" s="1">
        <v>5.6334715299999998E-2</v>
      </c>
      <c r="BD82" s="1">
        <v>0.1178228024</v>
      </c>
      <c r="BE82" s="1">
        <v>1.6927786899999998E-2</v>
      </c>
      <c r="BF82">
        <v>3.7810183347000001</v>
      </c>
      <c r="BG82">
        <v>-163.085876652</v>
      </c>
      <c r="BH82">
        <v>11.0805205751</v>
      </c>
      <c r="BI82">
        <v>2.4204074580000001</v>
      </c>
      <c r="BJ82">
        <v>2.2999639397</v>
      </c>
    </row>
    <row r="83" spans="1:62" x14ac:dyDescent="0.25">
      <c r="A83" t="s">
        <v>162</v>
      </c>
      <c r="B83" t="s">
        <v>102</v>
      </c>
      <c r="C83" t="s">
        <v>103</v>
      </c>
      <c r="D83" t="s">
        <v>104</v>
      </c>
      <c r="H83">
        <v>0.36249709419999998</v>
      </c>
      <c r="J83">
        <v>0.54894425889999998</v>
      </c>
      <c r="P83">
        <v>6.4883416014000002</v>
      </c>
      <c r="AA83">
        <v>7182.1040666049203</v>
      </c>
      <c r="AC83">
        <v>133.910565091417</v>
      </c>
      <c r="AI83">
        <v>5066.1271055359903</v>
      </c>
      <c r="AQ83">
        <v>1</v>
      </c>
      <c r="AR83">
        <v>37</v>
      </c>
      <c r="AS83">
        <v>8.4788405999999997E-2</v>
      </c>
      <c r="AT83" s="1">
        <v>8.6431380099999996E-2</v>
      </c>
      <c r="AU83" s="1">
        <v>8.1795937050000003</v>
      </c>
      <c r="AV83" s="1">
        <v>0.18205705229999999</v>
      </c>
      <c r="AW83" s="1">
        <v>6.8215969099999996E-2</v>
      </c>
      <c r="AX83" s="1">
        <v>3.7539317295000001</v>
      </c>
      <c r="AY83" s="1">
        <v>2.4192914100000001E-2</v>
      </c>
      <c r="AZ83" s="1">
        <v>0.1907200456</v>
      </c>
      <c r="BA83" s="1">
        <v>2.0188003906</v>
      </c>
      <c r="BB83" s="1">
        <v>5.55697676E-2</v>
      </c>
      <c r="BC83" s="1">
        <v>6.9462209400000002E-2</v>
      </c>
      <c r="BD83" s="1">
        <v>0.1048893944</v>
      </c>
      <c r="BE83" s="1">
        <v>1.5069623900000001E-2</v>
      </c>
      <c r="BF83">
        <v>3.6275123119999999</v>
      </c>
      <c r="BG83">
        <v>-172.3879096485</v>
      </c>
      <c r="BH83">
        <v>11.0776401474</v>
      </c>
      <c r="BI83">
        <v>1.2937323565000001</v>
      </c>
      <c r="BJ83">
        <v>2.5439543245</v>
      </c>
    </row>
    <row r="84" spans="1:62" x14ac:dyDescent="0.25">
      <c r="A84" t="s">
        <v>163</v>
      </c>
      <c r="B84" t="s">
        <v>102</v>
      </c>
      <c r="C84" t="s">
        <v>103</v>
      </c>
      <c r="D84" t="s">
        <v>104</v>
      </c>
      <c r="H84">
        <v>0.32868133939999999</v>
      </c>
      <c r="J84">
        <v>0.66881559859999995</v>
      </c>
      <c r="P84">
        <v>7.3331844410000002</v>
      </c>
      <c r="AA84">
        <v>6768.6626765594001</v>
      </c>
      <c r="AC84">
        <v>109.863549650742</v>
      </c>
      <c r="AI84">
        <v>2101.2846477809599</v>
      </c>
      <c r="AQ84">
        <v>1</v>
      </c>
      <c r="AR84">
        <v>50</v>
      </c>
      <c r="AS84">
        <v>8.4960546200000001E-2</v>
      </c>
      <c r="AT84" s="1">
        <v>8.6606855999999996E-2</v>
      </c>
      <c r="AU84" s="1">
        <v>8.2680086311000007</v>
      </c>
      <c r="AV84" s="1">
        <v>0.28622719889999998</v>
      </c>
      <c r="AW84" s="1">
        <v>0.1072480606</v>
      </c>
      <c r="AX84" s="1">
        <v>5.4033923123000003</v>
      </c>
      <c r="AY84" s="1">
        <v>2.41420395E-2</v>
      </c>
      <c r="AZ84" s="1">
        <v>0.19031898580000001</v>
      </c>
      <c r="BA84" s="1">
        <v>2.012058401</v>
      </c>
      <c r="BB84" s="1">
        <v>4.2721540299999999E-2</v>
      </c>
      <c r="BC84" s="1">
        <v>5.3401925400000001E-2</v>
      </c>
      <c r="BD84" s="1">
        <v>0.15128802990000001</v>
      </c>
      <c r="BE84" s="1">
        <v>2.17357886E-2</v>
      </c>
      <c r="BF84">
        <v>4.0507645184000003</v>
      </c>
      <c r="BG84">
        <v>-143.08558212849999</v>
      </c>
      <c r="BH84">
        <v>11.089526430299999</v>
      </c>
      <c r="BI84">
        <v>4.2092019308999999</v>
      </c>
      <c r="BJ84">
        <v>1.5796881771</v>
      </c>
    </row>
    <row r="85" spans="1:62" x14ac:dyDescent="0.25">
      <c r="A85" t="s">
        <v>164</v>
      </c>
      <c r="B85" t="s">
        <v>102</v>
      </c>
      <c r="C85" t="s">
        <v>103</v>
      </c>
      <c r="D85" t="s">
        <v>104</v>
      </c>
      <c r="H85">
        <v>0.2325908944</v>
      </c>
      <c r="J85">
        <v>0.56717929899999997</v>
      </c>
      <c r="P85">
        <v>6.6709363083</v>
      </c>
      <c r="AA85">
        <v>8334.6187747907406</v>
      </c>
      <c r="AC85">
        <v>129.90038688519101</v>
      </c>
      <c r="AI85">
        <v>3571.7665052092698</v>
      </c>
      <c r="AQ85">
        <v>1</v>
      </c>
      <c r="AR85">
        <v>34</v>
      </c>
      <c r="AS85">
        <v>8.5021661799999995E-2</v>
      </c>
      <c r="AT85" s="1">
        <v>8.6669155799999995E-2</v>
      </c>
      <c r="AU85" s="1">
        <v>8.2420451509999992</v>
      </c>
      <c r="AV85" s="1">
        <v>0.18278373649999999</v>
      </c>
      <c r="AW85" s="1">
        <v>6.8488254499999998E-2</v>
      </c>
      <c r="AX85" s="1">
        <v>3.8760035429999999</v>
      </c>
      <c r="AY85" s="1">
        <v>2.4152604800000001E-2</v>
      </c>
      <c r="AZ85" s="1">
        <v>0.1904022755</v>
      </c>
      <c r="BA85" s="1">
        <v>2.0164613508000002</v>
      </c>
      <c r="BB85" s="1">
        <v>0.12841735300000001</v>
      </c>
      <c r="BC85" s="1">
        <v>0.16052169120000001</v>
      </c>
      <c r="BD85" s="1">
        <v>0.1201175905</v>
      </c>
      <c r="BE85" s="1">
        <v>1.72574827E-2</v>
      </c>
      <c r="BF85">
        <v>3.966146664</v>
      </c>
      <c r="BG85">
        <v>-161.5427276174</v>
      </c>
      <c r="BH85">
        <v>11.0810665979</v>
      </c>
      <c r="BI85">
        <v>0.52041135869999999</v>
      </c>
      <c r="BJ85">
        <v>2.0244832221000002</v>
      </c>
    </row>
    <row r="86" spans="1:62" x14ac:dyDescent="0.25">
      <c r="A86" t="s">
        <v>165</v>
      </c>
      <c r="B86" t="s">
        <v>102</v>
      </c>
      <c r="C86" t="s">
        <v>103</v>
      </c>
      <c r="D86" t="s">
        <v>104</v>
      </c>
      <c r="H86">
        <v>0.29173745950000002</v>
      </c>
      <c r="J86">
        <v>0.55153073509999995</v>
      </c>
      <c r="P86">
        <v>6.7051211154999999</v>
      </c>
      <c r="AA86">
        <v>7785.0419673112201</v>
      </c>
      <c r="AC86">
        <v>133.597944955755</v>
      </c>
      <c r="AI86">
        <v>3386.3828160482799</v>
      </c>
      <c r="AQ86">
        <v>1</v>
      </c>
      <c r="AR86">
        <v>45</v>
      </c>
      <c r="AS86">
        <v>8.5025997500000006E-2</v>
      </c>
      <c r="AT86" s="1">
        <v>8.6673575500000002E-2</v>
      </c>
      <c r="AU86" s="1">
        <v>8.2432955459000006</v>
      </c>
      <c r="AV86" s="1">
        <v>0.1817043173</v>
      </c>
      <c r="AW86" s="1">
        <v>6.8083800900000005E-2</v>
      </c>
      <c r="AX86" s="1">
        <v>3.7764611872999998</v>
      </c>
      <c r="AY86" s="1">
        <v>2.4152297E-2</v>
      </c>
      <c r="AZ86" s="1">
        <v>0.19039984900000001</v>
      </c>
      <c r="BA86" s="1">
        <v>2.0165514941999998</v>
      </c>
      <c r="BB86" s="1">
        <v>5.7978958999999997E-2</v>
      </c>
      <c r="BC86" s="1">
        <v>7.24736988E-2</v>
      </c>
      <c r="BD86" s="1">
        <v>0.10510800670000001</v>
      </c>
      <c r="BE86" s="1">
        <v>1.5101032299999999E-2</v>
      </c>
      <c r="BF86">
        <v>3.7000999229999998</v>
      </c>
      <c r="BG86">
        <v>-172.2213457556</v>
      </c>
      <c r="BH86">
        <v>11.077686055399999</v>
      </c>
      <c r="BI86">
        <v>0.9099079122</v>
      </c>
      <c r="BJ86">
        <v>2.5466636287000002</v>
      </c>
    </row>
    <row r="87" spans="1:62" x14ac:dyDescent="0.25">
      <c r="A87" t="s">
        <v>166</v>
      </c>
      <c r="B87" t="s">
        <v>72</v>
      </c>
      <c r="C87" t="s">
        <v>73</v>
      </c>
      <c r="D87" t="s">
        <v>74</v>
      </c>
      <c r="H87">
        <v>0.33107658309999999</v>
      </c>
      <c r="L87">
        <v>0.30763212870000001</v>
      </c>
      <c r="P87">
        <v>7.8759569688999997</v>
      </c>
      <c r="AA87">
        <v>4083.89533791035</v>
      </c>
      <c r="AE87">
        <v>908.76514204645196</v>
      </c>
      <c r="AI87">
        <v>363.36520013919301</v>
      </c>
      <c r="AQ87">
        <v>1</v>
      </c>
      <c r="AR87">
        <v>47</v>
      </c>
      <c r="AS87">
        <v>8.5069907E-2</v>
      </c>
      <c r="AT87" s="1">
        <v>8.6718335899999999E-2</v>
      </c>
      <c r="AU87" s="1">
        <v>8.3243933514999995</v>
      </c>
      <c r="AV87" s="1">
        <v>0.32582782760000001</v>
      </c>
      <c r="AW87" s="1">
        <v>0.1220862403</v>
      </c>
      <c r="AX87" s="1">
        <v>6.4565454017999997</v>
      </c>
      <c r="AY87" s="1">
        <v>2.4109475299999999E-2</v>
      </c>
      <c r="AZ87" s="1">
        <v>0.19006227279999999</v>
      </c>
      <c r="BA87" s="1">
        <v>2.007724767</v>
      </c>
      <c r="BB87" s="1">
        <v>4.3071021600000002E-2</v>
      </c>
      <c r="BC87" s="1">
        <v>5.3838776900000003E-2</v>
      </c>
      <c r="BD87" s="1">
        <v>0.17017420629999999</v>
      </c>
      <c r="BE87" s="1">
        <v>2.4449195199999999E-2</v>
      </c>
      <c r="BF87">
        <v>4.3280464665</v>
      </c>
      <c r="BG87">
        <v>-133.67460988440001</v>
      </c>
      <c r="BH87">
        <v>11.0955976228</v>
      </c>
      <c r="BI87">
        <v>4.3000587210000001</v>
      </c>
      <c r="BJ87">
        <v>1.3331533886</v>
      </c>
    </row>
    <row r="88" spans="1:62" x14ac:dyDescent="0.25">
      <c r="A88" t="s">
        <v>167</v>
      </c>
      <c r="B88" t="s">
        <v>102</v>
      </c>
      <c r="C88" t="s">
        <v>103</v>
      </c>
      <c r="D88" t="s">
        <v>104</v>
      </c>
      <c r="H88">
        <v>0.35630428219999999</v>
      </c>
      <c r="J88">
        <v>0.60556368549999995</v>
      </c>
      <c r="P88">
        <v>6.8392042058999998</v>
      </c>
      <c r="AA88">
        <v>7286.3437338188196</v>
      </c>
      <c r="AC88">
        <v>121.755016522989</v>
      </c>
      <c r="AI88">
        <v>2376.3387909826401</v>
      </c>
      <c r="AQ88">
        <v>1</v>
      </c>
      <c r="AR88">
        <v>17</v>
      </c>
      <c r="AS88">
        <v>8.5090090399999999E-2</v>
      </c>
      <c r="AT88" s="1">
        <v>8.6738910399999994E-2</v>
      </c>
      <c r="AU88" s="1">
        <v>8.2627134486999996</v>
      </c>
      <c r="AV88" s="1">
        <v>0.20977998110000001</v>
      </c>
      <c r="AW88" s="1">
        <v>7.8603627499999995E-2</v>
      </c>
      <c r="AX88" s="1">
        <v>4.2118891382000001</v>
      </c>
      <c r="AY88" s="1">
        <v>2.41408766E-2</v>
      </c>
      <c r="AZ88" s="1">
        <v>0.19030981829999999</v>
      </c>
      <c r="BA88" s="1">
        <v>2.0157768946000001</v>
      </c>
      <c r="BB88" s="1">
        <v>5.2076003000000003E-2</v>
      </c>
      <c r="BC88" s="1">
        <v>6.5095003799999995E-2</v>
      </c>
      <c r="BD88" s="1">
        <v>0.1167718459</v>
      </c>
      <c r="BE88" s="1">
        <v>1.6776794300000002E-2</v>
      </c>
      <c r="BF88">
        <v>3.7574831290000001</v>
      </c>
      <c r="BG88">
        <v>-163.8026626498</v>
      </c>
      <c r="BH88">
        <v>11.0802740263</v>
      </c>
      <c r="BI88">
        <v>2.2379534954000002</v>
      </c>
      <c r="BJ88">
        <v>2.3056996069000002</v>
      </c>
    </row>
    <row r="89" spans="1:62" x14ac:dyDescent="0.25">
      <c r="A89" t="s">
        <v>168</v>
      </c>
      <c r="B89" t="s">
        <v>102</v>
      </c>
      <c r="C89" t="s">
        <v>103</v>
      </c>
      <c r="D89" t="s">
        <v>104</v>
      </c>
      <c r="H89">
        <v>0.33866735840000001</v>
      </c>
      <c r="J89">
        <v>0.58780128369999995</v>
      </c>
      <c r="P89">
        <v>6.9936640483000003</v>
      </c>
      <c r="AA89">
        <v>7283.9983279928701</v>
      </c>
      <c r="AC89">
        <v>125.407038514691</v>
      </c>
      <c r="AI89">
        <v>1079.5290027769499</v>
      </c>
      <c r="AQ89">
        <v>1</v>
      </c>
      <c r="AR89">
        <v>71</v>
      </c>
      <c r="AS89">
        <v>8.51187427E-2</v>
      </c>
      <c r="AT89" s="1">
        <v>8.6768117899999997E-2</v>
      </c>
      <c r="AU89" s="1">
        <v>8.2789102865000004</v>
      </c>
      <c r="AV89" s="1">
        <v>0.19406895169999999</v>
      </c>
      <c r="AW89" s="1">
        <v>7.2716774499999998E-2</v>
      </c>
      <c r="AX89" s="1">
        <v>4.0037938212000004</v>
      </c>
      <c r="AY89" s="1">
        <v>2.4131700499999999E-2</v>
      </c>
      <c r="AZ89" s="1">
        <v>0.19023748060000001</v>
      </c>
      <c r="BA89" s="1">
        <v>2.0144586241</v>
      </c>
      <c r="BB89" s="1">
        <v>4.45705479E-2</v>
      </c>
      <c r="BC89" s="1">
        <v>5.5713184899999997E-2</v>
      </c>
      <c r="BD89" s="1">
        <v>0.1089458938</v>
      </c>
      <c r="BE89" s="1">
        <v>1.56524275E-2</v>
      </c>
      <c r="BF89">
        <v>3.7048133991999999</v>
      </c>
      <c r="BG89">
        <v>-169.3523125838</v>
      </c>
      <c r="BH89">
        <v>11.078507570099999</v>
      </c>
      <c r="BI89">
        <v>1.8509839862999999</v>
      </c>
      <c r="BJ89">
        <v>2.5529524287999998</v>
      </c>
    </row>
    <row r="90" spans="1:62" x14ac:dyDescent="0.25">
      <c r="A90" t="s">
        <v>169</v>
      </c>
      <c r="B90" t="s">
        <v>102</v>
      </c>
      <c r="C90" t="s">
        <v>103</v>
      </c>
      <c r="D90" t="s">
        <v>104</v>
      </c>
      <c r="H90">
        <v>0.38948659819999998</v>
      </c>
      <c r="J90">
        <v>0.60188367089999995</v>
      </c>
      <c r="P90">
        <v>7.0550162298999997</v>
      </c>
      <c r="AA90">
        <v>6284.8258544437003</v>
      </c>
      <c r="AC90">
        <v>122.470267150889</v>
      </c>
      <c r="AI90">
        <v>609.69611435195498</v>
      </c>
      <c r="AQ90">
        <v>1</v>
      </c>
      <c r="AR90">
        <v>16</v>
      </c>
      <c r="AS90">
        <v>8.5120016899999998E-2</v>
      </c>
      <c r="AT90" s="1">
        <v>8.6769416700000004E-2</v>
      </c>
      <c r="AU90" s="1">
        <v>8.2805677627000005</v>
      </c>
      <c r="AV90" s="1">
        <v>0.20628629579999999</v>
      </c>
      <c r="AW90" s="1">
        <v>7.7294559099999993E-2</v>
      </c>
      <c r="AX90" s="1">
        <v>4.1486039257999998</v>
      </c>
      <c r="AY90" s="1">
        <v>2.41309106E-2</v>
      </c>
      <c r="AZ90" s="1">
        <v>0.19023125360000001</v>
      </c>
      <c r="BA90" s="1">
        <v>2.0143457495999999</v>
      </c>
      <c r="BB90" s="1">
        <v>7.3195699000000003E-2</v>
      </c>
      <c r="BC90" s="1">
        <v>9.1494623799999994E-2</v>
      </c>
      <c r="BD90" s="1">
        <v>0.11804592780000001</v>
      </c>
      <c r="BE90" s="1">
        <v>1.6959843700000001E-2</v>
      </c>
      <c r="BF90">
        <v>3.8156000094999998</v>
      </c>
      <c r="BG90">
        <v>-162.93452090669999</v>
      </c>
      <c r="BH90">
        <v>11.0805732034</v>
      </c>
      <c r="BI90">
        <v>1.6171215732999999</v>
      </c>
      <c r="BJ90">
        <v>2.2436186650000001</v>
      </c>
    </row>
    <row r="91" spans="1:62" x14ac:dyDescent="0.25">
      <c r="A91" t="s">
        <v>170</v>
      </c>
      <c r="B91" t="s">
        <v>67</v>
      </c>
      <c r="C91" t="s">
        <v>68</v>
      </c>
      <c r="D91" t="s">
        <v>69</v>
      </c>
      <c r="H91">
        <v>0.31616790340000001</v>
      </c>
      <c r="J91">
        <v>0.76405424609999995</v>
      </c>
      <c r="L91">
        <v>0.24575841670000001</v>
      </c>
      <c r="P91">
        <v>7.9129824512000004</v>
      </c>
      <c r="AA91">
        <v>2991.7960030490999</v>
      </c>
      <c r="AC91">
        <v>83.960145901004097</v>
      </c>
      <c r="AE91">
        <v>754.74938500112796</v>
      </c>
      <c r="AI91">
        <v>315.13780632663497</v>
      </c>
      <c r="AQ91">
        <v>1</v>
      </c>
      <c r="AR91">
        <v>39</v>
      </c>
      <c r="AS91">
        <v>8.5285713799999996E-2</v>
      </c>
      <c r="AT91" s="1">
        <v>8.6938324499999997E-2</v>
      </c>
      <c r="AU91" s="1">
        <v>6.8287591564000003</v>
      </c>
      <c r="AV91" s="1">
        <v>0.43644235419999999</v>
      </c>
      <c r="AW91" s="1">
        <v>0.16353301219999999</v>
      </c>
      <c r="AX91" s="1">
        <v>9.2258375195000006</v>
      </c>
      <c r="AY91" s="1">
        <v>2.5341056300000001E-2</v>
      </c>
      <c r="AZ91" s="1">
        <v>0.1997711972</v>
      </c>
      <c r="BA91" s="1">
        <v>2.1805970346999999</v>
      </c>
      <c r="BB91" s="1">
        <v>4.2388526900000001E-2</v>
      </c>
      <c r="BC91" s="1">
        <v>5.29856587E-2</v>
      </c>
      <c r="BD91" s="1">
        <v>0.2237155213</v>
      </c>
      <c r="BE91" s="1">
        <v>3.214156E-2</v>
      </c>
      <c r="BF91">
        <v>4.6970848034000001</v>
      </c>
      <c r="BG91">
        <v>-109.7904022816</v>
      </c>
      <c r="BH91">
        <v>14.805566450900001</v>
      </c>
      <c r="BI91">
        <v>4.4949128984</v>
      </c>
      <c r="BJ91">
        <v>0.96263461299999997</v>
      </c>
    </row>
    <row r="92" spans="1:62" x14ac:dyDescent="0.25">
      <c r="A92" t="s">
        <v>171</v>
      </c>
      <c r="B92" t="s">
        <v>85</v>
      </c>
      <c r="C92" t="s">
        <v>86</v>
      </c>
      <c r="D92" t="s">
        <v>87</v>
      </c>
      <c r="J92">
        <v>0.78297625059999998</v>
      </c>
      <c r="L92">
        <v>0.23601126180000001</v>
      </c>
      <c r="P92">
        <v>7.3039228783999999</v>
      </c>
      <c r="AC92">
        <v>81.3642217416092</v>
      </c>
      <c r="AE92">
        <v>6129.5731852672898</v>
      </c>
      <c r="AI92">
        <v>710.07738440498304</v>
      </c>
      <c r="AQ92">
        <v>1</v>
      </c>
      <c r="AR92">
        <v>18</v>
      </c>
      <c r="AS92">
        <v>8.5784469299999999E-2</v>
      </c>
      <c r="AT92" s="1">
        <v>8.7446744500000007E-2</v>
      </c>
      <c r="AU92" s="1">
        <v>6.7208360851000002</v>
      </c>
      <c r="AV92" s="1">
        <v>0.45872089300000002</v>
      </c>
      <c r="AW92" s="1">
        <v>0.17188068179999999</v>
      </c>
      <c r="AX92" s="1">
        <v>9.7644303186000005</v>
      </c>
      <c r="AY92" s="1">
        <v>2.545362E-2</v>
      </c>
      <c r="AZ92" s="1">
        <v>0.20065857070000001</v>
      </c>
      <c r="BA92" s="1">
        <v>2.1920980446999998</v>
      </c>
      <c r="BB92" s="1">
        <v>4.5414091699999999E-2</v>
      </c>
      <c r="BC92" s="1">
        <v>5.6767614700000003E-2</v>
      </c>
      <c r="BD92" s="1">
        <v>0.23478402809999999</v>
      </c>
      <c r="BE92" s="1">
        <v>3.3731789700000001E-2</v>
      </c>
      <c r="BF92">
        <v>4.8143912429000002</v>
      </c>
      <c r="BG92">
        <v>-107.9271373431</v>
      </c>
      <c r="BH92">
        <v>11.121761902199999</v>
      </c>
      <c r="BI92">
        <v>4.6396071969000001</v>
      </c>
      <c r="BJ92">
        <v>0.90323596640000003</v>
      </c>
    </row>
    <row r="93" spans="1:62" x14ac:dyDescent="0.25">
      <c r="A93" t="s">
        <v>172</v>
      </c>
      <c r="B93" t="s">
        <v>89</v>
      </c>
      <c r="C93" t="s">
        <v>90</v>
      </c>
      <c r="D93" t="s">
        <v>91</v>
      </c>
      <c r="H93">
        <v>0.33962568050000003</v>
      </c>
      <c r="J93">
        <v>0.53596486320000003</v>
      </c>
      <c r="L93">
        <v>0.23683693480000001</v>
      </c>
      <c r="AA93">
        <v>6497.2430367057596</v>
      </c>
      <c r="AC93">
        <v>118.564685606399</v>
      </c>
      <c r="AE93">
        <v>14598.994909163001</v>
      </c>
      <c r="AQ93">
        <v>1</v>
      </c>
      <c r="AR93">
        <v>63</v>
      </c>
      <c r="AS93">
        <v>8.58875739E-2</v>
      </c>
      <c r="AT93" s="1">
        <v>8.7551847000000002E-2</v>
      </c>
      <c r="AU93" s="1">
        <v>6.7354094926999997</v>
      </c>
      <c r="AV93" s="1">
        <v>0.19448029510000001</v>
      </c>
      <c r="AW93" s="1">
        <v>7.2870903099999995E-2</v>
      </c>
      <c r="AX93" s="1">
        <v>4.0168238881000002</v>
      </c>
      <c r="AY93" s="1">
        <v>2.54549193E-2</v>
      </c>
      <c r="AZ93" s="1">
        <v>0.20066881410000001</v>
      </c>
      <c r="BA93" s="1">
        <v>2.1933505603999999</v>
      </c>
      <c r="BB93" s="1">
        <v>5.0702456700000002E-2</v>
      </c>
      <c r="BC93" s="1">
        <v>6.33780709E-2</v>
      </c>
      <c r="BD93" s="1">
        <v>0.1100203988</v>
      </c>
      <c r="BE93" s="1">
        <v>1.5806803299999998E-2</v>
      </c>
      <c r="BF93">
        <v>3.3824341994</v>
      </c>
      <c r="BG93">
        <v>-168.56715895630001</v>
      </c>
      <c r="BH93">
        <v>11.078742850499999</v>
      </c>
      <c r="BI93">
        <v>1.3382050979</v>
      </c>
      <c r="BJ93">
        <v>2.7138191092000001</v>
      </c>
    </row>
    <row r="94" spans="1:62" x14ac:dyDescent="0.25">
      <c r="A94" t="s">
        <v>173</v>
      </c>
      <c r="B94" t="s">
        <v>85</v>
      </c>
      <c r="C94" t="s">
        <v>86</v>
      </c>
      <c r="D94" t="s">
        <v>87</v>
      </c>
      <c r="J94">
        <v>0.52730548720000003</v>
      </c>
      <c r="L94">
        <v>0.23417149609999999</v>
      </c>
      <c r="P94">
        <v>7.0471630528000002</v>
      </c>
      <c r="AC94">
        <v>120.580105784436</v>
      </c>
      <c r="AE94">
        <v>14444.2027616614</v>
      </c>
      <c r="AI94">
        <v>684.532789225653</v>
      </c>
      <c r="AQ94">
        <v>1</v>
      </c>
      <c r="AR94">
        <v>19</v>
      </c>
      <c r="AS94">
        <v>8.5920892400000004E-2</v>
      </c>
      <c r="AT94" s="1">
        <v>8.7585811099999994E-2</v>
      </c>
      <c r="AU94" s="1">
        <v>6.7475364902999999</v>
      </c>
      <c r="AV94" s="1">
        <v>0.19646164050000001</v>
      </c>
      <c r="AW94" s="1">
        <v>7.3613304399999996E-2</v>
      </c>
      <c r="AX94" s="1">
        <v>3.9289924515000001</v>
      </c>
      <c r="AY94" s="1">
        <v>2.54898613E-2</v>
      </c>
      <c r="AZ94" s="1">
        <v>0.2009442719</v>
      </c>
      <c r="BA94" s="1">
        <v>2.1954117801000002</v>
      </c>
      <c r="BB94" s="1">
        <v>4.5485281299999999E-2</v>
      </c>
      <c r="BC94" s="1">
        <v>5.6856601700000002E-2</v>
      </c>
      <c r="BD94" s="1">
        <v>0.1103383657</v>
      </c>
      <c r="BE94" s="1">
        <v>1.58524861E-2</v>
      </c>
      <c r="BF94">
        <v>3.363604778</v>
      </c>
      <c r="BG94">
        <v>-168.33628661270001</v>
      </c>
      <c r="BH94">
        <v>11.078812917300001</v>
      </c>
      <c r="BI94">
        <v>1.4675175278000001</v>
      </c>
      <c r="BJ94">
        <v>2.6609903107999999</v>
      </c>
    </row>
    <row r="95" spans="1:62" x14ac:dyDescent="0.25">
      <c r="A95" t="s">
        <v>174</v>
      </c>
      <c r="B95" t="s">
        <v>85</v>
      </c>
      <c r="C95" t="s">
        <v>86</v>
      </c>
      <c r="D95" t="s">
        <v>87</v>
      </c>
      <c r="J95">
        <v>0.76362172179999999</v>
      </c>
      <c r="L95">
        <v>0.24469689959999999</v>
      </c>
      <c r="P95">
        <v>5.6851889107</v>
      </c>
      <c r="AC95">
        <v>83.311628966703907</v>
      </c>
      <c r="AE95">
        <v>1052.69156673768</v>
      </c>
      <c r="AI95">
        <v>553.94832827053199</v>
      </c>
      <c r="AQ95">
        <v>1</v>
      </c>
      <c r="AR95">
        <v>29</v>
      </c>
      <c r="AS95">
        <v>8.6025594400000002E-2</v>
      </c>
      <c r="AT95" s="1">
        <v>8.7692541900000004E-2</v>
      </c>
      <c r="AU95" s="1">
        <v>6.7888935764999996</v>
      </c>
      <c r="AV95" s="1">
        <v>0.43785965630000001</v>
      </c>
      <c r="AW95" s="1">
        <v>0.16406406909999999</v>
      </c>
      <c r="AX95" s="1">
        <v>9.2585506021999997</v>
      </c>
      <c r="AY95" s="1">
        <v>2.5612639100000001E-2</v>
      </c>
      <c r="AZ95" s="1">
        <v>0.2019121663</v>
      </c>
      <c r="BA95" s="1">
        <v>2.2022855864999999</v>
      </c>
      <c r="BB95" s="1">
        <v>4.5721788700000002E-2</v>
      </c>
      <c r="BC95" s="1">
        <v>5.7152235900000001E-2</v>
      </c>
      <c r="BD95" s="1">
        <v>0.22464859819999999</v>
      </c>
      <c r="BE95" s="1">
        <v>3.2275616600000001E-2</v>
      </c>
      <c r="BF95">
        <v>4.7088810679000002</v>
      </c>
      <c r="BG95">
        <v>-111.4574306624</v>
      </c>
      <c r="BH95">
        <v>11.117105355</v>
      </c>
      <c r="BI95">
        <v>4.5054953905000001</v>
      </c>
      <c r="BJ95">
        <v>0.95733647320000004</v>
      </c>
    </row>
    <row r="96" spans="1:62" x14ac:dyDescent="0.25">
      <c r="A96" t="s">
        <v>175</v>
      </c>
      <c r="B96" t="s">
        <v>67</v>
      </c>
      <c r="C96" t="s">
        <v>68</v>
      </c>
      <c r="D96" t="s">
        <v>69</v>
      </c>
      <c r="H96">
        <v>0.32235983959999998</v>
      </c>
      <c r="J96">
        <v>0.56124596390000003</v>
      </c>
      <c r="L96">
        <v>0.31366879590000002</v>
      </c>
      <c r="P96">
        <v>6.1943673848999996</v>
      </c>
      <c r="AA96">
        <v>4376.9220935425701</v>
      </c>
      <c r="AC96">
        <v>133.327061992571</v>
      </c>
      <c r="AE96">
        <v>803.75199018724402</v>
      </c>
      <c r="AI96">
        <v>300.92604184658501</v>
      </c>
      <c r="AQ96">
        <v>1</v>
      </c>
      <c r="AR96">
        <v>26</v>
      </c>
      <c r="AS96">
        <v>8.62093263E-2</v>
      </c>
      <c r="AT96" s="1">
        <v>8.7879834099999998E-2</v>
      </c>
      <c r="AU96" s="1">
        <v>8.4283695770999998</v>
      </c>
      <c r="AV96" s="1">
        <v>0.18139683479999999</v>
      </c>
      <c r="AW96" s="1">
        <v>6.7968588600000004E-2</v>
      </c>
      <c r="AX96" s="1">
        <v>3.8322767564000002</v>
      </c>
      <c r="AY96" s="1">
        <v>2.4028653099999998E-2</v>
      </c>
      <c r="AZ96" s="1">
        <v>0.18942512689999999</v>
      </c>
      <c r="BA96" s="1">
        <v>2.018161509</v>
      </c>
      <c r="BB96" s="1">
        <v>4.40649522E-2</v>
      </c>
      <c r="BC96" s="1">
        <v>5.5081190199999998E-2</v>
      </c>
      <c r="BD96" s="1">
        <v>0.10350840040000001</v>
      </c>
      <c r="BE96" s="1">
        <v>1.4871214299999999E-2</v>
      </c>
      <c r="BF96">
        <v>3.7076866580000001</v>
      </c>
      <c r="BG96">
        <v>-171.4482005237</v>
      </c>
      <c r="BH96">
        <v>14.7662318054</v>
      </c>
      <c r="BI96">
        <v>1.0959496003</v>
      </c>
      <c r="BJ96">
        <v>2.6319220192000001</v>
      </c>
    </row>
    <row r="97" spans="1:62" x14ac:dyDescent="0.25">
      <c r="A97" t="s">
        <v>176</v>
      </c>
      <c r="B97" t="s">
        <v>89</v>
      </c>
      <c r="C97" t="s">
        <v>90</v>
      </c>
      <c r="D97" t="s">
        <v>91</v>
      </c>
      <c r="H97">
        <v>0.31788271909999999</v>
      </c>
      <c r="J97">
        <v>0.61923309609999999</v>
      </c>
      <c r="L97">
        <v>0.23467827190000001</v>
      </c>
      <c r="AA97">
        <v>6524.8443069969699</v>
      </c>
      <c r="AC97">
        <v>101.966279204203</v>
      </c>
      <c r="AE97">
        <v>14419.3885858467</v>
      </c>
      <c r="AQ97">
        <v>1</v>
      </c>
      <c r="AR97">
        <v>50</v>
      </c>
      <c r="AS97">
        <v>8.63391248E-2</v>
      </c>
      <c r="AT97" s="1">
        <v>8.8012147700000001E-2</v>
      </c>
      <c r="AU97" s="1">
        <v>6.8050311951999998</v>
      </c>
      <c r="AV97" s="1">
        <v>0.2627531743</v>
      </c>
      <c r="AW97" s="1">
        <v>9.8452447700000001E-2</v>
      </c>
      <c r="AX97" s="1">
        <v>5.1800218165</v>
      </c>
      <c r="AY97" s="1">
        <v>2.5507172799999998E-2</v>
      </c>
      <c r="AZ97" s="1">
        <v>0.20108074370000001</v>
      </c>
      <c r="BA97" s="1">
        <v>2.2007358527999998</v>
      </c>
      <c r="BB97" s="1">
        <v>4.3536280699999999E-2</v>
      </c>
      <c r="BC97" s="1">
        <v>5.4420350899999997E-2</v>
      </c>
      <c r="BD97" s="1">
        <v>0.14056999919999999</v>
      </c>
      <c r="BE97" s="1">
        <v>2.01959123E-2</v>
      </c>
      <c r="BF97">
        <v>3.6880599136000001</v>
      </c>
      <c r="BG97">
        <v>-148.96397596880001</v>
      </c>
      <c r="BH97">
        <v>11.086398287</v>
      </c>
      <c r="BI97">
        <v>3.1181412663999999</v>
      </c>
      <c r="BJ97">
        <v>1.9333323978000001</v>
      </c>
    </row>
    <row r="98" spans="1:62" x14ac:dyDescent="0.25">
      <c r="A98" t="s">
        <v>177</v>
      </c>
      <c r="B98" t="s">
        <v>85</v>
      </c>
      <c r="C98" t="s">
        <v>86</v>
      </c>
      <c r="D98" t="s">
        <v>87</v>
      </c>
      <c r="J98">
        <v>0.57181964070000002</v>
      </c>
      <c r="L98">
        <v>0.23093095999999999</v>
      </c>
      <c r="P98">
        <v>6.6091108795000002</v>
      </c>
      <c r="AC98">
        <v>110.09798395396599</v>
      </c>
      <c r="AE98">
        <v>3054.6189801989799</v>
      </c>
      <c r="AI98">
        <v>644.05773550156903</v>
      </c>
      <c r="AQ98">
        <v>1</v>
      </c>
      <c r="AR98">
        <v>26</v>
      </c>
      <c r="AS98">
        <v>8.6678260300000004E-2</v>
      </c>
      <c r="AT98" s="1">
        <v>8.8357854799999996E-2</v>
      </c>
      <c r="AU98" s="1">
        <v>6.8693196491000004</v>
      </c>
      <c r="AV98" s="1">
        <v>0.21193280989999999</v>
      </c>
      <c r="AW98" s="1">
        <v>7.9410282900000004E-2</v>
      </c>
      <c r="AX98" s="1">
        <v>4.4082548814000004</v>
      </c>
      <c r="AY98" s="1">
        <v>2.5613100400000002E-2</v>
      </c>
      <c r="AZ98" s="1">
        <v>0.20191580310000001</v>
      </c>
      <c r="BA98" s="1">
        <v>2.2091792359000002</v>
      </c>
      <c r="BB98" s="1">
        <v>4.5824235800000002E-2</v>
      </c>
      <c r="BC98" s="1">
        <v>5.7280294699999998E-2</v>
      </c>
      <c r="BD98" s="1">
        <v>0.117456937</v>
      </c>
      <c r="BE98" s="1">
        <v>1.6875222400000001E-2</v>
      </c>
      <c r="BF98">
        <v>3.5199300402000002</v>
      </c>
      <c r="BG98">
        <v>-163.33468046639999</v>
      </c>
      <c r="BH98">
        <v>11.0804344944</v>
      </c>
      <c r="BI98">
        <v>1.6930408724999999</v>
      </c>
      <c r="BJ98">
        <v>2.5501997494999999</v>
      </c>
    </row>
    <row r="99" spans="1:62" x14ac:dyDescent="0.25">
      <c r="A99" t="s">
        <v>178</v>
      </c>
      <c r="B99" t="s">
        <v>67</v>
      </c>
      <c r="C99" t="s">
        <v>68</v>
      </c>
      <c r="D99" t="s">
        <v>69</v>
      </c>
      <c r="H99">
        <v>0.36296267840000002</v>
      </c>
      <c r="J99">
        <v>0.55092640989999997</v>
      </c>
      <c r="L99">
        <v>0.3534577364</v>
      </c>
      <c r="P99">
        <v>8.9585751719999998</v>
      </c>
      <c r="AA99">
        <v>3880.99583708406</v>
      </c>
      <c r="AC99">
        <v>135.51183381481499</v>
      </c>
      <c r="AE99">
        <v>343.08784286971201</v>
      </c>
      <c r="AI99">
        <v>375.50607034726102</v>
      </c>
      <c r="AQ99">
        <v>1</v>
      </c>
      <c r="AR99">
        <v>19</v>
      </c>
      <c r="AS99">
        <v>8.6689366399999995E-2</v>
      </c>
      <c r="AT99" s="1">
        <v>8.8369176100000002E-2</v>
      </c>
      <c r="AU99" s="1">
        <v>8.6942390089000003</v>
      </c>
      <c r="AV99" s="1">
        <v>0.1835561184</v>
      </c>
      <c r="AW99" s="1">
        <v>6.8777662500000003E-2</v>
      </c>
      <c r="AX99" s="1">
        <v>3.8208489721999999</v>
      </c>
      <c r="AY99" s="1">
        <v>2.38813984E-2</v>
      </c>
      <c r="AZ99" s="1">
        <v>0.18826427370000001</v>
      </c>
      <c r="BA99" s="1">
        <v>1.9975773650999999</v>
      </c>
      <c r="BB99" s="1">
        <v>5.6229254700000002E-2</v>
      </c>
      <c r="BC99" s="1">
        <v>7.0286568300000005E-2</v>
      </c>
      <c r="BD99" s="1">
        <v>0.1059952182</v>
      </c>
      <c r="BE99" s="1">
        <v>1.52284993E-2</v>
      </c>
      <c r="BF99">
        <v>3.7743627158000002</v>
      </c>
      <c r="BG99">
        <v>-169.5489037824</v>
      </c>
      <c r="BH99">
        <v>14.766752802699999</v>
      </c>
      <c r="BI99">
        <v>1.1899161675000001</v>
      </c>
      <c r="BJ99">
        <v>2.5154394471999999</v>
      </c>
    </row>
    <row r="100" spans="1:62" x14ac:dyDescent="0.25">
      <c r="A100" t="s">
        <v>179</v>
      </c>
      <c r="B100" t="s">
        <v>67</v>
      </c>
      <c r="C100" t="s">
        <v>68</v>
      </c>
      <c r="D100" t="s">
        <v>69</v>
      </c>
      <c r="H100">
        <v>0.22326209280000001</v>
      </c>
      <c r="J100">
        <v>0.55299519009999998</v>
      </c>
      <c r="L100">
        <v>0.31534065729999999</v>
      </c>
      <c r="P100">
        <v>6.5466575634000002</v>
      </c>
      <c r="AA100">
        <v>5214.4821632689</v>
      </c>
      <c r="AC100">
        <v>136.546861555693</v>
      </c>
      <c r="AE100">
        <v>1933.53413452309</v>
      </c>
      <c r="AI100">
        <v>454.788332518196</v>
      </c>
      <c r="AQ100">
        <v>1</v>
      </c>
      <c r="AR100">
        <v>82</v>
      </c>
      <c r="AS100">
        <v>8.7260106700000006E-2</v>
      </c>
      <c r="AT100" s="1">
        <v>8.8950975799999998E-2</v>
      </c>
      <c r="AU100" s="1">
        <v>8.6309821143000001</v>
      </c>
      <c r="AV100" s="1">
        <v>0.18283822650000001</v>
      </c>
      <c r="AW100" s="1">
        <v>6.8508671600000001E-2</v>
      </c>
      <c r="AX100" s="1">
        <v>3.7929273002000001</v>
      </c>
      <c r="AY100" s="1">
        <v>2.3906954599999999E-2</v>
      </c>
      <c r="AZ100" s="1">
        <v>0.1884657404</v>
      </c>
      <c r="BA100" s="1">
        <v>2.0125605593999998</v>
      </c>
      <c r="BB100" s="1">
        <v>0.1462261299</v>
      </c>
      <c r="BC100" s="1">
        <v>0.18278266239999999</v>
      </c>
      <c r="BD100" s="1">
        <v>0.12549677970000001</v>
      </c>
      <c r="BE100" s="1">
        <v>1.80303193E-2</v>
      </c>
      <c r="BF100">
        <v>4.1073983683000002</v>
      </c>
      <c r="BG100">
        <v>-156.038014457</v>
      </c>
      <c r="BH100">
        <v>14.7712672582</v>
      </c>
      <c r="BI100">
        <v>0.37184257850000002</v>
      </c>
      <c r="BJ100">
        <v>1.7781351294000001</v>
      </c>
    </row>
    <row r="101" spans="1:62" x14ac:dyDescent="0.25">
      <c r="A101" t="s">
        <v>180</v>
      </c>
      <c r="B101" t="s">
        <v>85</v>
      </c>
      <c r="C101" t="s">
        <v>86</v>
      </c>
      <c r="D101" t="s">
        <v>87</v>
      </c>
      <c r="J101">
        <v>0.57367415509999997</v>
      </c>
      <c r="L101">
        <v>0.2360989315</v>
      </c>
      <c r="P101">
        <v>8.0292485672999998</v>
      </c>
      <c r="AC101">
        <v>108.10276551051101</v>
      </c>
      <c r="AE101">
        <v>1509.72903185577</v>
      </c>
      <c r="AI101">
        <v>762.54666180516199</v>
      </c>
      <c r="AQ101">
        <v>1</v>
      </c>
      <c r="AR101">
        <v>21</v>
      </c>
      <c r="AS101">
        <v>8.7638316399999999E-2</v>
      </c>
      <c r="AT101" s="1">
        <v>8.9336514199999995E-2</v>
      </c>
      <c r="AU101" s="1">
        <v>6.9731415240999999</v>
      </c>
      <c r="AV101" s="1">
        <v>0.21741186509999999</v>
      </c>
      <c r="AW101" s="1">
        <v>8.1463260499999995E-2</v>
      </c>
      <c r="AX101" s="1">
        <v>4.4693491371</v>
      </c>
      <c r="AY101" s="1">
        <v>2.5604432199999999E-2</v>
      </c>
      <c r="AZ101" s="1">
        <v>0.2018474693</v>
      </c>
      <c r="BA101" s="1">
        <v>2.2176802919999998</v>
      </c>
      <c r="BB101" s="1">
        <v>4.6013455000000002E-2</v>
      </c>
      <c r="BC101" s="1">
        <v>5.75168187E-2</v>
      </c>
      <c r="BD101" s="1">
        <v>0.120126203</v>
      </c>
      <c r="BE101" s="1">
        <v>1.72587201E-2</v>
      </c>
      <c r="BF101">
        <v>3.5656646031000001</v>
      </c>
      <c r="BG101">
        <v>-161.53699177850001</v>
      </c>
      <c r="BH101">
        <v>11.081068667</v>
      </c>
      <c r="BI101">
        <v>1.8235611991</v>
      </c>
      <c r="BJ101">
        <v>2.4954595203999999</v>
      </c>
    </row>
    <row r="102" spans="1:62" x14ac:dyDescent="0.25">
      <c r="A102" t="s">
        <v>181</v>
      </c>
      <c r="B102" t="s">
        <v>67</v>
      </c>
      <c r="C102" t="s">
        <v>68</v>
      </c>
      <c r="D102" t="s">
        <v>69</v>
      </c>
      <c r="H102">
        <v>0.30542533789999998</v>
      </c>
      <c r="J102">
        <v>0.56993206080000003</v>
      </c>
      <c r="L102">
        <v>0.22561006489999999</v>
      </c>
      <c r="P102">
        <v>6.7802741720000004</v>
      </c>
      <c r="AA102">
        <v>2717.3700951035098</v>
      </c>
      <c r="AC102">
        <v>108.748376823941</v>
      </c>
      <c r="AE102">
        <v>1748.9911506182</v>
      </c>
      <c r="AI102">
        <v>266.81165819956198</v>
      </c>
      <c r="AQ102">
        <v>1</v>
      </c>
      <c r="AR102">
        <v>26</v>
      </c>
      <c r="AS102">
        <v>8.7833440700000001E-2</v>
      </c>
      <c r="AT102" s="1">
        <v>8.9535419500000005E-2</v>
      </c>
      <c r="AU102" s="1">
        <v>7.0189981348000003</v>
      </c>
      <c r="AV102" s="1">
        <v>0.21424790539999999</v>
      </c>
      <c r="AW102" s="1">
        <v>8.0277738900000006E-2</v>
      </c>
      <c r="AX102" s="1">
        <v>4.4462322771</v>
      </c>
      <c r="AY102" s="1">
        <v>2.57205015E-2</v>
      </c>
      <c r="AZ102" s="1">
        <v>0.20276247820000001</v>
      </c>
      <c r="BA102" s="1">
        <v>2.2248222340999999</v>
      </c>
      <c r="BB102" s="1">
        <v>4.4991408699999999E-2</v>
      </c>
      <c r="BC102" s="1">
        <v>5.6239260899999997E-2</v>
      </c>
      <c r="BD102" s="1">
        <v>0.1186408965</v>
      </c>
      <c r="BE102" s="1">
        <v>1.7045323800000001E-2</v>
      </c>
      <c r="BF102">
        <v>3.5724138796</v>
      </c>
      <c r="BG102">
        <v>-160.5323219574</v>
      </c>
      <c r="BH102">
        <v>14.769593478799999</v>
      </c>
      <c r="BI102">
        <v>1.6333239339000001</v>
      </c>
      <c r="BJ102">
        <v>2.5403935111</v>
      </c>
    </row>
    <row r="103" spans="1:62" x14ac:dyDescent="0.25">
      <c r="A103" t="s">
        <v>182</v>
      </c>
      <c r="B103" t="s">
        <v>85</v>
      </c>
      <c r="C103" t="s">
        <v>86</v>
      </c>
      <c r="D103" t="s">
        <v>87</v>
      </c>
      <c r="J103">
        <v>0.61802114149999998</v>
      </c>
      <c r="L103">
        <v>0.32824165350000001</v>
      </c>
      <c r="P103">
        <v>5.9360878448000003</v>
      </c>
      <c r="AC103">
        <v>123.07076503563501</v>
      </c>
      <c r="AE103">
        <v>1128.5139167124</v>
      </c>
      <c r="AI103">
        <v>512.93090097536594</v>
      </c>
      <c r="AQ103">
        <v>1</v>
      </c>
      <c r="AR103">
        <v>32</v>
      </c>
      <c r="AS103">
        <v>8.7871824799999998E-2</v>
      </c>
      <c r="AT103" s="1">
        <v>8.9574547399999996E-2</v>
      </c>
      <c r="AU103" s="1">
        <v>8.6776448665999997</v>
      </c>
      <c r="AV103" s="1">
        <v>0.2180360861</v>
      </c>
      <c r="AW103" s="1">
        <v>8.16971534E-2</v>
      </c>
      <c r="AX103" s="1">
        <v>4.4022196684999999</v>
      </c>
      <c r="AY103" s="1">
        <v>2.38760485E-2</v>
      </c>
      <c r="AZ103" s="1">
        <v>0.1882220986</v>
      </c>
      <c r="BA103" s="1">
        <v>2.0158075096000001</v>
      </c>
      <c r="BB103" s="1">
        <v>5.5724091099999998E-2</v>
      </c>
      <c r="BC103" s="1">
        <v>6.9655113800000001E-2</v>
      </c>
      <c r="BD103" s="1">
        <v>0.1213841345</v>
      </c>
      <c r="BE103" s="1">
        <v>1.7439449100000001E-2</v>
      </c>
      <c r="BF103">
        <v>3.9619021221000001</v>
      </c>
      <c r="BG103">
        <v>-160.70360771439999</v>
      </c>
      <c r="BH103">
        <v>11.0813724705</v>
      </c>
      <c r="BI103">
        <v>2.3010705715999999</v>
      </c>
      <c r="BJ103">
        <v>2.1378773062</v>
      </c>
    </row>
    <row r="104" spans="1:62" x14ac:dyDescent="0.25">
      <c r="A104" t="s">
        <v>183</v>
      </c>
      <c r="B104" t="s">
        <v>85</v>
      </c>
      <c r="C104" t="s">
        <v>86</v>
      </c>
      <c r="D104" t="s">
        <v>87</v>
      </c>
      <c r="J104">
        <v>0.58013700010000002</v>
      </c>
      <c r="L104">
        <v>0.32229742760000002</v>
      </c>
      <c r="P104">
        <v>6.3495122109000004</v>
      </c>
      <c r="AC104">
        <v>131.209000477751</v>
      </c>
      <c r="AE104">
        <v>1735.21384756309</v>
      </c>
      <c r="AI104">
        <v>543.09525343519601</v>
      </c>
      <c r="AQ104">
        <v>1</v>
      </c>
      <c r="AR104">
        <v>27</v>
      </c>
      <c r="AS104">
        <v>8.8075157000000001E-2</v>
      </c>
      <c r="AT104" s="1">
        <v>8.9781819600000007E-2</v>
      </c>
      <c r="AU104" s="1">
        <v>8.7414428125000008</v>
      </c>
      <c r="AV104" s="1">
        <v>0.18710072</v>
      </c>
      <c r="AW104" s="1">
        <v>7.0105809000000005E-2</v>
      </c>
      <c r="AX104" s="1">
        <v>3.9596491737999999</v>
      </c>
      <c r="AY104" s="1">
        <v>2.3841344699999999E-2</v>
      </c>
      <c r="AZ104" s="1">
        <v>0.18794851770000001</v>
      </c>
      <c r="BA104" s="1">
        <v>2.0121783125000001</v>
      </c>
      <c r="BB104" s="1">
        <v>5.5952959199999999E-2</v>
      </c>
      <c r="BC104" s="1">
        <v>6.9941198900000001E-2</v>
      </c>
      <c r="BD104" s="1">
        <v>0.1077764539</v>
      </c>
      <c r="BE104" s="1">
        <v>1.54844122E-2</v>
      </c>
      <c r="BF104">
        <v>3.8669485448000001</v>
      </c>
      <c r="BG104">
        <v>-170.21568545299999</v>
      </c>
      <c r="BH104">
        <v>11.078254126399999</v>
      </c>
      <c r="BI104">
        <v>1.1396137541</v>
      </c>
      <c r="BJ104">
        <v>2.5053896834999998</v>
      </c>
    </row>
    <row r="105" spans="1:62" x14ac:dyDescent="0.25">
      <c r="A105" t="s">
        <v>184</v>
      </c>
      <c r="B105" t="s">
        <v>85</v>
      </c>
      <c r="C105" t="s">
        <v>86</v>
      </c>
      <c r="D105" t="s">
        <v>87</v>
      </c>
      <c r="J105">
        <v>0.52724146640000003</v>
      </c>
      <c r="L105">
        <v>0.3194441321</v>
      </c>
      <c r="P105">
        <v>6.6978248564999996</v>
      </c>
      <c r="AC105">
        <v>144.297562569387</v>
      </c>
      <c r="AE105">
        <v>3294.73983175684</v>
      </c>
      <c r="AI105">
        <v>582.44759411734105</v>
      </c>
      <c r="AQ105">
        <v>1</v>
      </c>
      <c r="AR105">
        <v>37</v>
      </c>
      <c r="AS105">
        <v>8.8110712699999996E-2</v>
      </c>
      <c r="AT105" s="1">
        <v>8.98180643E-2</v>
      </c>
      <c r="AU105" s="1">
        <v>8.7745778309000002</v>
      </c>
      <c r="AV105" s="1">
        <v>0.2014434745</v>
      </c>
      <c r="AW105" s="1">
        <v>7.5479975500000004E-2</v>
      </c>
      <c r="AX105" s="1">
        <v>3.6258520274000001</v>
      </c>
      <c r="AY105" s="1">
        <v>2.38239448E-2</v>
      </c>
      <c r="AZ105" s="1">
        <v>0.1878113491</v>
      </c>
      <c r="BA105" s="1">
        <v>2.0094707474</v>
      </c>
      <c r="BB105" s="1">
        <v>5.5979894000000002E-2</v>
      </c>
      <c r="BC105" s="1">
        <v>6.9974867499999996E-2</v>
      </c>
      <c r="BD105" s="1">
        <v>0.1140660993</v>
      </c>
      <c r="BE105" s="1">
        <v>1.6388055499999998E-2</v>
      </c>
      <c r="BF105">
        <v>3.7911215565999998</v>
      </c>
      <c r="BG105">
        <v>-165.6781744415</v>
      </c>
      <c r="BH105">
        <v>11.079649437300001</v>
      </c>
      <c r="BI105">
        <v>1.6657144516</v>
      </c>
      <c r="BJ105">
        <v>2.0291978223</v>
      </c>
    </row>
    <row r="106" spans="1:62" x14ac:dyDescent="0.25">
      <c r="A106" t="s">
        <v>185</v>
      </c>
      <c r="B106" t="s">
        <v>89</v>
      </c>
      <c r="C106" t="s">
        <v>90</v>
      </c>
      <c r="D106" t="s">
        <v>91</v>
      </c>
      <c r="H106">
        <v>0.37653763350000002</v>
      </c>
      <c r="J106">
        <v>0.66885821670000001</v>
      </c>
      <c r="L106">
        <v>0.32189521069999999</v>
      </c>
      <c r="AA106">
        <v>7111.1265171611603</v>
      </c>
      <c r="AC106">
        <v>113.61952654917</v>
      </c>
      <c r="AE106">
        <v>20581.616624861901</v>
      </c>
      <c r="AQ106">
        <v>1</v>
      </c>
      <c r="AR106">
        <v>42</v>
      </c>
      <c r="AS106">
        <v>8.8165346699999994E-2</v>
      </c>
      <c r="AT106" s="1">
        <v>8.9873756900000004E-2</v>
      </c>
      <c r="AU106" s="1">
        <v>8.8344810629000001</v>
      </c>
      <c r="AV106" s="1">
        <v>0.27949793760000002</v>
      </c>
      <c r="AW106" s="1">
        <v>0.1047266362</v>
      </c>
      <c r="AX106" s="1">
        <v>5.2447746659999996</v>
      </c>
      <c r="AY106" s="1">
        <v>2.3792855200000001E-2</v>
      </c>
      <c r="AZ106" s="1">
        <v>0.18756626060000001</v>
      </c>
      <c r="BA106" s="1">
        <v>2.0044844317999999</v>
      </c>
      <c r="BB106" s="1">
        <v>6.4104314199999998E-2</v>
      </c>
      <c r="BC106" s="1">
        <v>8.0130392699999997E-2</v>
      </c>
      <c r="BD106" s="1">
        <v>0.1504723301</v>
      </c>
      <c r="BE106" s="1">
        <v>2.1618595800000001E-2</v>
      </c>
      <c r="BF106">
        <v>4.1949316038999998</v>
      </c>
      <c r="BG106">
        <v>-143.51808516880001</v>
      </c>
      <c r="BH106">
        <v>11.089280284499999</v>
      </c>
      <c r="BI106">
        <v>3.6398452574000002</v>
      </c>
      <c r="BJ106">
        <v>1.567145749</v>
      </c>
    </row>
    <row r="107" spans="1:62" x14ac:dyDescent="0.25">
      <c r="A107" t="s">
        <v>186</v>
      </c>
      <c r="B107" t="s">
        <v>67</v>
      </c>
      <c r="C107" t="s">
        <v>68</v>
      </c>
      <c r="D107" t="s">
        <v>69</v>
      </c>
      <c r="H107">
        <v>0.26757279119999999</v>
      </c>
      <c r="J107">
        <v>0.56866662729999995</v>
      </c>
      <c r="L107">
        <v>0.34877748790000002</v>
      </c>
      <c r="P107">
        <v>8.5059049344000002</v>
      </c>
      <c r="AA107">
        <v>4892.37532451474</v>
      </c>
      <c r="AC107">
        <v>133.62853386563799</v>
      </c>
      <c r="AE107">
        <v>623.86446722999699</v>
      </c>
      <c r="AI107">
        <v>495.39305588180702</v>
      </c>
      <c r="AQ107">
        <v>1</v>
      </c>
      <c r="AR107">
        <v>64</v>
      </c>
      <c r="AS107">
        <v>8.8470945800000006E-2</v>
      </c>
      <c r="AT107" s="1">
        <v>9.0185277699999997E-2</v>
      </c>
      <c r="AU107" s="1">
        <v>8.9791549299</v>
      </c>
      <c r="AV107" s="1">
        <v>0.18442530169999999</v>
      </c>
      <c r="AW107" s="1">
        <v>6.9103341700000001E-2</v>
      </c>
      <c r="AX107" s="1">
        <v>3.9387944291000001</v>
      </c>
      <c r="AY107" s="1">
        <v>2.37146913E-2</v>
      </c>
      <c r="AZ107" s="1">
        <v>0.18695007080000001</v>
      </c>
      <c r="BA107" s="1">
        <v>1.9941839338</v>
      </c>
      <c r="BB107" s="1">
        <v>8.6758876799999995E-2</v>
      </c>
      <c r="BC107" s="1">
        <v>0.1084485961</v>
      </c>
      <c r="BD107" s="1">
        <v>0.1117243141</v>
      </c>
      <c r="BE107" s="1">
        <v>1.6051607499999999E-2</v>
      </c>
      <c r="BF107">
        <v>3.9974835524999999</v>
      </c>
      <c r="BG107">
        <v>-165.3376738611</v>
      </c>
      <c r="BH107">
        <v>14.7680001388</v>
      </c>
      <c r="BI107">
        <v>0.79298319179999999</v>
      </c>
      <c r="BJ107">
        <v>2.329432594</v>
      </c>
    </row>
    <row r="108" spans="1:62" x14ac:dyDescent="0.25">
      <c r="A108" t="s">
        <v>187</v>
      </c>
      <c r="B108" t="s">
        <v>67</v>
      </c>
      <c r="C108" t="s">
        <v>68</v>
      </c>
      <c r="D108" t="s">
        <v>69</v>
      </c>
      <c r="H108">
        <v>0.2416921256</v>
      </c>
      <c r="J108">
        <v>0.61424220799999996</v>
      </c>
      <c r="L108">
        <v>0.34972456280000003</v>
      </c>
      <c r="P108">
        <v>8.3593185676000008</v>
      </c>
      <c r="AA108">
        <v>5192.9268567605404</v>
      </c>
      <c r="AC108">
        <v>124.70143186267801</v>
      </c>
      <c r="AE108">
        <v>774.68915181494003</v>
      </c>
      <c r="AI108">
        <v>544.72842726434601</v>
      </c>
      <c r="AQ108">
        <v>1</v>
      </c>
      <c r="AR108">
        <v>41</v>
      </c>
      <c r="AS108">
        <v>8.9398682699999996E-2</v>
      </c>
      <c r="AT108" s="1">
        <v>9.1130991699999997E-2</v>
      </c>
      <c r="AU108" s="1">
        <v>9.1142829169000006</v>
      </c>
      <c r="AV108" s="1">
        <v>0.2152572787</v>
      </c>
      <c r="AW108" s="1">
        <v>8.0655946500000006E-2</v>
      </c>
      <c r="AX108" s="1">
        <v>4.3894908793000003</v>
      </c>
      <c r="AY108" s="1">
        <v>2.3639427500000001E-2</v>
      </c>
      <c r="AZ108" s="1">
        <v>0.1863567435</v>
      </c>
      <c r="BA108" s="1">
        <v>1.9921613766999999</v>
      </c>
      <c r="BB108" s="1">
        <v>0.1210490774</v>
      </c>
      <c r="BC108" s="1">
        <v>0.15131134669999999</v>
      </c>
      <c r="BD108" s="1">
        <v>0.131851737</v>
      </c>
      <c r="BE108" s="1">
        <v>1.8943345899999998E-2</v>
      </c>
      <c r="BF108">
        <v>4.2776753514000001</v>
      </c>
      <c r="BG108">
        <v>-152.08617540290001</v>
      </c>
      <c r="BH108">
        <v>14.772902696999999</v>
      </c>
      <c r="BI108">
        <v>1.4894515549</v>
      </c>
      <c r="BJ108">
        <v>1.8418243613</v>
      </c>
    </row>
    <row r="109" spans="1:62" x14ac:dyDescent="0.25">
      <c r="A109" t="s">
        <v>188</v>
      </c>
      <c r="B109" t="s">
        <v>85</v>
      </c>
      <c r="C109" t="s">
        <v>86</v>
      </c>
      <c r="D109" t="s">
        <v>87</v>
      </c>
      <c r="J109">
        <v>0.53954470099999996</v>
      </c>
      <c r="L109">
        <v>0.21117231280000001</v>
      </c>
      <c r="P109">
        <v>6.6917166306000002</v>
      </c>
      <c r="AC109">
        <v>109.46422955590199</v>
      </c>
      <c r="AE109">
        <v>3669.4181883811998</v>
      </c>
      <c r="AI109">
        <v>646.47927340384501</v>
      </c>
      <c r="AQ109">
        <v>1</v>
      </c>
      <c r="AR109">
        <v>52</v>
      </c>
      <c r="AS109">
        <v>9.2350129899999994E-2</v>
      </c>
      <c r="AT109" s="1">
        <v>9.4139630200000005E-2</v>
      </c>
      <c r="AU109" s="1">
        <v>7.4787512929000002</v>
      </c>
      <c r="AV109" s="1">
        <v>0.20902254640000001</v>
      </c>
      <c r="AW109" s="1">
        <v>7.8319819999999998E-2</v>
      </c>
      <c r="AX109" s="1">
        <v>4.3390575088999999</v>
      </c>
      <c r="AY109" s="1">
        <v>2.6112628700000001E-2</v>
      </c>
      <c r="AZ109" s="1">
        <v>0.2058537356</v>
      </c>
      <c r="BA109" s="1">
        <v>2.2741416318000001</v>
      </c>
      <c r="BB109" s="1">
        <v>4.8909018200000001E-2</v>
      </c>
      <c r="BC109" s="1">
        <v>6.1136272800000002E-2</v>
      </c>
      <c r="BD109" s="1">
        <v>0.1175722468</v>
      </c>
      <c r="BE109" s="1">
        <v>1.68917892E-2</v>
      </c>
      <c r="BF109">
        <v>3.6854487569000001</v>
      </c>
      <c r="BG109">
        <v>-163.25618146260001</v>
      </c>
      <c r="BH109">
        <v>11.080461595599999</v>
      </c>
      <c r="BI109">
        <v>1.0976112316</v>
      </c>
      <c r="BJ109">
        <v>2.6280378512000002</v>
      </c>
    </row>
    <row r="110" spans="1:62" x14ac:dyDescent="0.25">
      <c r="A110" t="s">
        <v>189</v>
      </c>
      <c r="B110" t="s">
        <v>67</v>
      </c>
      <c r="C110" t="s">
        <v>68</v>
      </c>
      <c r="D110" t="s">
        <v>69</v>
      </c>
      <c r="H110">
        <v>0.32422470640000001</v>
      </c>
      <c r="J110">
        <v>0.5862306491</v>
      </c>
      <c r="L110">
        <v>0.36378374759999998</v>
      </c>
      <c r="P110">
        <v>5.7568690757000001</v>
      </c>
      <c r="AA110">
        <v>5308.6775392690297</v>
      </c>
      <c r="AC110">
        <v>135.32348602280501</v>
      </c>
      <c r="AE110">
        <v>580.95195177412097</v>
      </c>
      <c r="AI110">
        <v>297.75147735018999</v>
      </c>
      <c r="AQ110">
        <v>1</v>
      </c>
      <c r="AR110">
        <v>24</v>
      </c>
      <c r="AS110">
        <v>9.4165324300000006E-2</v>
      </c>
      <c r="AT110" s="1">
        <v>9.5989998199999996E-2</v>
      </c>
      <c r="AU110" s="1">
        <v>9.8508898890999994</v>
      </c>
      <c r="AV110" s="1">
        <v>0.1912423338</v>
      </c>
      <c r="AW110" s="1">
        <v>7.1657653299999999E-2</v>
      </c>
      <c r="AX110" s="1">
        <v>4.0267497390000004</v>
      </c>
      <c r="AY110" s="1">
        <v>2.3425522800000001E-2</v>
      </c>
      <c r="AZ110" s="1">
        <v>0.18467046879999999</v>
      </c>
      <c r="BA110" s="1">
        <v>1.9959080894000001</v>
      </c>
      <c r="BB110" s="1">
        <v>5.1167238800000001E-2</v>
      </c>
      <c r="BC110" s="1">
        <v>6.3959048500000004E-2</v>
      </c>
      <c r="BD110" s="1">
        <v>0.110235634</v>
      </c>
      <c r="BE110" s="1">
        <v>1.58377265E-2</v>
      </c>
      <c r="BF110">
        <v>4.1290117124999997</v>
      </c>
      <c r="BG110">
        <v>-166.41080618000001</v>
      </c>
      <c r="BH110">
        <v>14.7676697115</v>
      </c>
      <c r="BI110">
        <v>1.1263811369000001</v>
      </c>
      <c r="BJ110">
        <v>2.3951491095000002</v>
      </c>
    </row>
    <row r="111" spans="1:62" x14ac:dyDescent="0.25">
      <c r="A111" t="s">
        <v>190</v>
      </c>
      <c r="B111" t="s">
        <v>67</v>
      </c>
      <c r="C111" t="s">
        <v>68</v>
      </c>
      <c r="D111" t="s">
        <v>69</v>
      </c>
      <c r="H111">
        <v>0.36720745399999999</v>
      </c>
      <c r="J111">
        <v>0.56667767840000005</v>
      </c>
      <c r="L111">
        <v>0.35713520989999997</v>
      </c>
      <c r="P111">
        <v>6.3988197619999996</v>
      </c>
      <c r="AA111">
        <v>5079.6680574945403</v>
      </c>
      <c r="AC111">
        <v>141.02150763348399</v>
      </c>
      <c r="AE111">
        <v>974.69722070117905</v>
      </c>
      <c r="AI111">
        <v>292.52716179542603</v>
      </c>
      <c r="AQ111">
        <v>1</v>
      </c>
      <c r="AR111">
        <v>66</v>
      </c>
      <c r="AS111">
        <v>9.5607514000000005E-2</v>
      </c>
      <c r="AT111" s="1">
        <v>9.7460133700000007E-2</v>
      </c>
      <c r="AU111" s="1">
        <v>10.1183480317</v>
      </c>
      <c r="AV111" s="1">
        <v>0.18844780329999999</v>
      </c>
      <c r="AW111" s="1">
        <v>7.0610555199999994E-2</v>
      </c>
      <c r="AX111" s="1">
        <v>3.9355117933999999</v>
      </c>
      <c r="AY111" s="1">
        <v>2.33155684E-2</v>
      </c>
      <c r="AZ111" s="1">
        <v>0.18380366510000001</v>
      </c>
      <c r="BA111" s="1">
        <v>1.9867902661000001</v>
      </c>
      <c r="BB111" s="1">
        <v>6.0260887800000003E-2</v>
      </c>
      <c r="BC111" s="1">
        <v>7.5326109700000005E-2</v>
      </c>
      <c r="BD111" s="1">
        <v>0.1104857023</v>
      </c>
      <c r="BE111" s="1">
        <v>1.58736542E-2</v>
      </c>
      <c r="BF111">
        <v>4.1715416039999997</v>
      </c>
      <c r="BG111">
        <v>-166.22953260009999</v>
      </c>
      <c r="BH111">
        <v>14.7677249069</v>
      </c>
      <c r="BI111">
        <v>1.0549928549000001</v>
      </c>
      <c r="BJ111">
        <v>2.3027918091999999</v>
      </c>
    </row>
    <row r="112" spans="1:62" x14ac:dyDescent="0.25">
      <c r="A112" t="s">
        <v>191</v>
      </c>
      <c r="B112" t="s">
        <v>85</v>
      </c>
      <c r="C112" t="s">
        <v>86</v>
      </c>
      <c r="D112" t="s">
        <v>87</v>
      </c>
      <c r="J112">
        <v>0.57905002839999997</v>
      </c>
      <c r="L112">
        <v>0.38248716890000001</v>
      </c>
      <c r="P112">
        <v>8.2231565266000004</v>
      </c>
      <c r="AC112">
        <v>139.243099082643</v>
      </c>
      <c r="AE112">
        <v>1045.96282157112</v>
      </c>
      <c r="AI112">
        <v>645.17479978797803</v>
      </c>
      <c r="AQ112">
        <v>1</v>
      </c>
      <c r="AR112">
        <v>23</v>
      </c>
      <c r="AS112">
        <v>9.7515523500000006E-2</v>
      </c>
      <c r="AT112" s="1">
        <v>9.9405115299999999E-2</v>
      </c>
      <c r="AU112" s="1">
        <v>10.478267708800001</v>
      </c>
      <c r="AV112" s="1">
        <v>0.1920360465</v>
      </c>
      <c r="AW112" s="1">
        <v>7.1955053899999996E-2</v>
      </c>
      <c r="AX112" s="1">
        <v>4.0557515443999996</v>
      </c>
      <c r="AY112" s="1">
        <v>2.3137837200000001E-2</v>
      </c>
      <c r="AZ112" s="1">
        <v>0.1824025564</v>
      </c>
      <c r="BA112" s="1">
        <v>1.9687387733999999</v>
      </c>
      <c r="BB112" s="1">
        <v>6.6137333399999998E-2</v>
      </c>
      <c r="BC112" s="1">
        <v>8.2671666800000002E-2</v>
      </c>
      <c r="BD112" s="1">
        <v>0.11324379330000001</v>
      </c>
      <c r="BE112" s="1">
        <v>1.62699135E-2</v>
      </c>
      <c r="BF112">
        <v>4.3418882595000001</v>
      </c>
      <c r="BG112">
        <v>-166.25698574379999</v>
      </c>
      <c r="BH112">
        <v>11.0794625191</v>
      </c>
      <c r="BI112">
        <v>0.81328022119999999</v>
      </c>
      <c r="BJ112">
        <v>2.2950651826000001</v>
      </c>
    </row>
    <row r="113" spans="1:62" x14ac:dyDescent="0.25">
      <c r="A113" t="s">
        <v>192</v>
      </c>
      <c r="B113" t="s">
        <v>89</v>
      </c>
      <c r="C113" t="s">
        <v>90</v>
      </c>
      <c r="D113" t="s">
        <v>91</v>
      </c>
      <c r="H113">
        <v>0.31998399869999999</v>
      </c>
      <c r="J113">
        <v>0.60332954390000004</v>
      </c>
      <c r="L113">
        <v>0.38268779019999999</v>
      </c>
      <c r="AA113">
        <v>7884.8425343839399</v>
      </c>
      <c r="AC113">
        <v>136.53015139805501</v>
      </c>
      <c r="AE113">
        <v>25125.407658997199</v>
      </c>
      <c r="AQ113">
        <v>1</v>
      </c>
      <c r="AR113">
        <v>40</v>
      </c>
      <c r="AS113">
        <v>0.1019111947</v>
      </c>
      <c r="AT113" s="1">
        <v>0.103885963</v>
      </c>
      <c r="AU113" s="1">
        <v>11.163996816099999</v>
      </c>
      <c r="AV113" s="1">
        <v>0.20557902929999999</v>
      </c>
      <c r="AW113" s="1">
        <v>7.7029549500000002E-2</v>
      </c>
      <c r="AX113" s="1">
        <v>4.2130563263000003</v>
      </c>
      <c r="AY113" s="1">
        <v>2.2953160699999999E-2</v>
      </c>
      <c r="AZ113" s="1">
        <v>0.18094669520000001</v>
      </c>
      <c r="BA113" s="1">
        <v>1.956640771</v>
      </c>
      <c r="BB113" s="1">
        <v>5.9465037800000002E-2</v>
      </c>
      <c r="BC113" s="1">
        <v>7.4331297199999993E-2</v>
      </c>
      <c r="BD113" s="1">
        <v>0.1190709528</v>
      </c>
      <c r="BE113" s="1">
        <v>1.7107110599999999E-2</v>
      </c>
      <c r="BF113">
        <v>4.5196570860999996</v>
      </c>
      <c r="BG113">
        <v>-162.2428577135</v>
      </c>
      <c r="BH113">
        <v>11.0808162541</v>
      </c>
      <c r="BI113">
        <v>1.3078384365</v>
      </c>
      <c r="BJ113">
        <v>2.1913273851000001</v>
      </c>
    </row>
    <row r="114" spans="1:62" x14ac:dyDescent="0.25">
      <c r="A114" t="s">
        <v>193</v>
      </c>
      <c r="B114" t="s">
        <v>85</v>
      </c>
      <c r="C114" t="s">
        <v>86</v>
      </c>
      <c r="D114" t="s">
        <v>87</v>
      </c>
      <c r="J114">
        <v>0.60182564019999996</v>
      </c>
      <c r="L114">
        <v>0.3893233854</v>
      </c>
      <c r="P114">
        <v>6.0888965475000001</v>
      </c>
      <c r="AC114">
        <v>137.26406220275999</v>
      </c>
      <c r="AE114">
        <v>1129.5076772023201</v>
      </c>
      <c r="AI114">
        <v>455.44137382088797</v>
      </c>
      <c r="AQ114">
        <v>1</v>
      </c>
      <c r="AR114">
        <v>39</v>
      </c>
      <c r="AS114">
        <v>0.1025488277</v>
      </c>
      <c r="AT114" s="1">
        <v>0.1045359516</v>
      </c>
      <c r="AU114" s="1">
        <v>11.221244030199999</v>
      </c>
      <c r="AV114" s="1">
        <v>0.2042815798</v>
      </c>
      <c r="AW114" s="1">
        <v>7.6543400900000003E-2</v>
      </c>
      <c r="AX114" s="1">
        <v>4.1906034355999999</v>
      </c>
      <c r="AY114" s="1">
        <v>2.29773752E-2</v>
      </c>
      <c r="AZ114" s="1">
        <v>0.1811375854</v>
      </c>
      <c r="BA114" s="1">
        <v>1.9614500643999999</v>
      </c>
      <c r="BB114" s="1">
        <v>7.0746778799999993E-2</v>
      </c>
      <c r="BC114" s="1">
        <v>8.8433473499999998E-2</v>
      </c>
      <c r="BD114" s="1">
        <v>0.1201876578</v>
      </c>
      <c r="BE114" s="1">
        <v>1.7267549399999998E-2</v>
      </c>
      <c r="BF114">
        <v>4.5704280694000001</v>
      </c>
      <c r="BG114">
        <v>-161.49607539569999</v>
      </c>
      <c r="BH114">
        <v>11.0810834354</v>
      </c>
      <c r="BI114">
        <v>1.171810816</v>
      </c>
      <c r="BJ114">
        <v>2.1344665985</v>
      </c>
    </row>
    <row r="115" spans="1:62" x14ac:dyDescent="0.25">
      <c r="A115" t="s">
        <v>194</v>
      </c>
      <c r="B115" t="s">
        <v>89</v>
      </c>
      <c r="C115" t="s">
        <v>90</v>
      </c>
      <c r="D115" t="s">
        <v>91</v>
      </c>
      <c r="H115">
        <v>0.34208202900000001</v>
      </c>
      <c r="J115">
        <v>0.53876048099999996</v>
      </c>
      <c r="L115">
        <v>0.38567514009999998</v>
      </c>
      <c r="AA115">
        <v>7717.2923123079199</v>
      </c>
      <c r="AC115">
        <v>153.44507159021401</v>
      </c>
      <c r="AE115">
        <v>25343.861022274399</v>
      </c>
      <c r="AQ115">
        <v>1</v>
      </c>
      <c r="AR115">
        <v>39</v>
      </c>
      <c r="AS115">
        <v>0.10273684230000001</v>
      </c>
      <c r="AT115" s="1">
        <v>0.1047276095</v>
      </c>
      <c r="AU115" s="1">
        <v>11.288461334000001</v>
      </c>
      <c r="AV115" s="1">
        <v>0.21364325379999999</v>
      </c>
      <c r="AW115" s="1">
        <v>8.0051178599999995E-2</v>
      </c>
      <c r="AX115" s="1">
        <v>4.0821595462999998</v>
      </c>
      <c r="AY115" s="1">
        <v>2.2917016700000001E-2</v>
      </c>
      <c r="AZ115" s="1">
        <v>0.18066176149999999</v>
      </c>
      <c r="BA115" s="1">
        <v>1.9535354373</v>
      </c>
      <c r="BB115" s="1">
        <v>5.6995781699999998E-2</v>
      </c>
      <c r="BC115" s="1">
        <v>7.1244727199999996E-2</v>
      </c>
      <c r="BD115" s="1">
        <v>0.122445914</v>
      </c>
      <c r="BE115" s="1">
        <v>1.75919966E-2</v>
      </c>
      <c r="BF115">
        <v>4.4918969581999999</v>
      </c>
      <c r="BG115">
        <v>-160.00686916359999</v>
      </c>
      <c r="BH115">
        <v>11.0816313642</v>
      </c>
      <c r="BI115">
        <v>1.7103420403</v>
      </c>
      <c r="BJ115">
        <v>1.8402195218999999</v>
      </c>
    </row>
    <row r="116" spans="1:62" x14ac:dyDescent="0.25">
      <c r="A116" t="s">
        <v>195</v>
      </c>
    </row>
    <row r="117" spans="1:62" x14ac:dyDescent="0.25">
      <c r="A117" t="s">
        <v>195</v>
      </c>
    </row>
    <row r="120" spans="1:62" x14ac:dyDescent="0.25">
      <c r="H120">
        <f>MIN(H2:H115)</f>
        <v>0.20140263990000001</v>
      </c>
      <c r="I120">
        <f t="shared" ref="I120:P120" si="0">MIN(I2:I115)</f>
        <v>1.3520000000000001</v>
      </c>
      <c r="J120">
        <f t="shared" si="0"/>
        <v>0.50059616659999995</v>
      </c>
      <c r="K120">
        <f t="shared" si="0"/>
        <v>1.1000000000000001</v>
      </c>
      <c r="L120">
        <f t="shared" si="0"/>
        <v>0.21117231280000001</v>
      </c>
      <c r="M120">
        <f t="shared" si="0"/>
        <v>20</v>
      </c>
      <c r="N120">
        <f t="shared" si="0"/>
        <v>8.0000000000000002E-3</v>
      </c>
      <c r="O120">
        <f t="shared" si="0"/>
        <v>0.5</v>
      </c>
      <c r="P120">
        <f t="shared" si="0"/>
        <v>5.5278582700000003</v>
      </c>
    </row>
    <row r="121" spans="1:62" x14ac:dyDescent="0.25">
      <c r="H121">
        <f>MAX(H2:H115)</f>
        <v>0.38948659819999998</v>
      </c>
      <c r="I121">
        <f t="shared" ref="I121:P121" si="1">MAX(I2:I115)</f>
        <v>1.3520000000000001</v>
      </c>
      <c r="J121">
        <f t="shared" si="1"/>
        <v>0.79995634459999998</v>
      </c>
      <c r="K121">
        <f t="shared" si="1"/>
        <v>1.1000000000000001</v>
      </c>
      <c r="L121">
        <f t="shared" si="1"/>
        <v>0.3893233854</v>
      </c>
      <c r="M121">
        <f t="shared" si="1"/>
        <v>20</v>
      </c>
      <c r="N121">
        <f t="shared" si="1"/>
        <v>8.0000000000000002E-3</v>
      </c>
      <c r="O121">
        <f t="shared" si="1"/>
        <v>0.5</v>
      </c>
      <c r="P121">
        <f t="shared" si="1"/>
        <v>8.9585940078000004</v>
      </c>
    </row>
  </sheetData>
  <autoFilter ref="A1:BJ117" xr:uid="{29E527F4-679C-46D3-9EE3-2BDC30C00DE4}">
    <sortState xmlns:xlrd2="http://schemas.microsoft.com/office/spreadsheetml/2017/richdata2" ref="A2:BJ117">
      <sortCondition ref="AT1:AT117"/>
    </sortState>
  </autoFilter>
  <conditionalFormatting sqref="BG2:BG115">
    <cfRule type="colorScale" priority="10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E2:BE115">
    <cfRule type="colorScale" priority="10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C2:BC115">
    <cfRule type="colorScale" priority="10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:AZ115">
    <cfRule type="colorScale" priority="10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2:AW115">
    <cfRule type="colorScale" priority="10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T2:AT115">
    <cfRule type="colorScale" priority="10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:P117">
    <cfRule type="colorScale" priority="106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L2:L117">
    <cfRule type="colorScale" priority="106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J2:J117">
    <cfRule type="colorScale" priority="106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H2:H117">
    <cfRule type="colorScale" priority="106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 Diaz Figueroa</dc:creator>
  <cp:lastModifiedBy>Cami Diaz Figueroa</cp:lastModifiedBy>
  <dcterms:created xsi:type="dcterms:W3CDTF">2026-07-03T18:14:14Z</dcterms:created>
  <dcterms:modified xsi:type="dcterms:W3CDTF">2026-07-03T19:12:31Z</dcterms:modified>
</cp:coreProperties>
</file>